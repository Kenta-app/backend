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2570519c0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da6d7fe14d04563"/>
    <x:sheet xmlns:r="http://schemas.openxmlformats.org/officeDocument/2006/relationships" name="Fuentes" sheetId="2" r:id="R1dbba94f73a9429f"/>
    <x:sheet xmlns:r="http://schemas.openxmlformats.org/officeDocument/2006/relationships" name="Cobertura" sheetId="3" r:id="Reb29f2bebfbc4c02"/>
    <x:sheet xmlns:r="http://schemas.openxmlformats.org/officeDocument/2006/relationships" name="Adjudicación" sheetId="4" r:id="Re07599f955e54f34"/>
    <x:sheet xmlns:r="http://schemas.openxmlformats.org/officeDocument/2006/relationships" name="Método" sheetId="5" r:id="R2b07531d04f8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172033"/>
      <x:name val="Arial"/>
    </x:font>
    <x:font>
      <x:b/>
      <x:sz val="10"/>
      <x:color rgb="FF172033"/>
      <x:name val="Arial"/>
    </x:font>
    <x:font>
      <x:b/>
      <x:sz val="10"/>
      <x:color rgb="FFA61B1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EF3F7"/>
      </x:patternFill>
    </x:fill>
    <x:fill>
      <x:patternFill patternType="solid">
        <x:fgColor rgb="FFDCE6E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0616e2ae34eb3" /><Relationship Type="http://schemas.openxmlformats.org/officeDocument/2006/relationships/theme" Target="/xl/theme/theme1.xml" Id="R7b8ad7d086f74124" /><Relationship Type="http://schemas.openxmlformats.org/officeDocument/2006/relationships/sharedStrings" Target="/xl/sharedStrings.xml" Id="R537ee2d1e6774402" /><Relationship Type="http://schemas.openxmlformats.org/officeDocument/2006/relationships/worksheet" Target="/xl/worksheets/sheet1.xml" Id="R2da6d7fe14d04563" /><Relationship Type="http://schemas.openxmlformats.org/officeDocument/2006/relationships/worksheet" Target="/xl/worksheets/sheet2.xml" Id="R1dbba94f73a9429f" /><Relationship Type="http://schemas.openxmlformats.org/officeDocument/2006/relationships/worksheet" Target="/xl/worksheets/sheet3.xml" Id="Reb29f2bebfbc4c02" /><Relationship Type="http://schemas.openxmlformats.org/officeDocument/2006/relationships/worksheet" Target="/xl/worksheets/sheet4.xml" Id="Re07599f955e54f34" /><Relationship Type="http://schemas.openxmlformats.org/officeDocument/2006/relationships/worksheet" Target="/xl/worksheets/sheet5.xml" Id="R2b07531d04f8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66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>
      <x:c r="A2" s="18" t="str">
        <x:v>Evaluación ciega integral de evidencia v4 — resultados finales</x:v>
      </x:c>
      <x:c r="B2" s="18"/>
      <x:c r="C2" s="18"/>
      <x:c r="D2" s="18"/>
      <x:c r="E2" s="18"/>
      <x:c r="F2" s="18"/>
    </x:row>
    <x:row r="4">
      <x:c r="A4" s="13" t="str">
        <x:v>Criterio prerregistrado</x:v>
      </x:c>
      <x:c r="B4" s="14" t="str">
        <x:v>Umbral</x:v>
      </x:c>
      <x:c r="C4" s="14" t="str">
        <x:v>Resultado final</x:v>
      </x:c>
      <x:c r="D4" s="14" t="str">
        <x:v>Base</x:v>
      </x:c>
      <x:c r="E4" s="14" t="str">
        <x:v>Estado</x:v>
      </x:c>
      <x:c r="F4" s="15" t="str">
        <x:v>Interpretación</x:v>
      </x:c>
      <x:c r="H4" s="24" t="str">
        <x:v>Matriz de confusión: postura humana final × modelo</x:v>
      </x:c>
      <x:c r="I4" s="24"/>
      <x:c r="J4" s="24"/>
      <x:c r="K4" s="24"/>
      <x:c r="L4" s="24"/>
      <x:c r="M4" s="24"/>
    </x:row>
    <x:row r="5" ht="45" customHeight="1">
      <x:c r="A5" s="20" t="str">
        <x:v>Publicaciones con fuentes</x:v>
      </x:c>
      <x:c r="B5" s="21" t="n">
        <x:v>0.8</x:v>
      </x:c>
      <x:c r="C5" s="21" t="n">
        <x:f>COUNTIFS(Cobertura!$E$2:$E$21,"&gt;0")/20</x:f>
        <x:v>0.7</x:v>
      </x:c>
      <x:c r="D5" s="16" t="str">
        <x:v>14/20</x:v>
      </x:c>
      <x:c r="E5" s="16" t="str">
        <x:f>IF(C5&gt;=B5,"Cumple","No cumple")</x:f>
        <x:v>No cumple</x:v>
      </x:c>
      <x:c r="F5" s="17" t="str">
        <x:v>La recuperación quedó por debajo del mínimo de 16 publicaciones.</x:v>
      </x:c>
      <x:c r="H5" s="13" t="str">
        <x:v>Humano / modelo</x:v>
      </x:c>
      <x:c r="I5" s="14" t="str">
        <x:v>supports</x:v>
      </x:c>
      <x:c r="J5" s="14" t="str">
        <x:v>refutes</x:v>
      </x:c>
      <x:c r="K5" s="14" t="str">
        <x:v>discusses</x:v>
      </x:c>
      <x:c r="L5" s="14" t="str">
        <x:v>unrelated</x:v>
      </x:c>
      <x:c r="M5" s="15" t="str">
        <x:v>Total</x:v>
      </x:c>
    </x:row>
    <x:row r="6" ht="45" customHeight="1">
      <x:c r="A6" s="20" t="str">
        <x:v>Precisión de fuentes evaluables</x:v>
      </x:c>
      <x:c r="B6" s="21" t="n">
        <x:v>0.9</x:v>
      </x:c>
      <x:c r="C6" s="21" t="n">
        <x:f>COUNTIFS(Fuentes!$K$2:$K$25,"&lt;&gt;unrelated")/COUNTA(Fuentes!$K$2:$K$25)</x:f>
        <x:v>1</x:v>
      </x:c>
      <x:c r="D6" s="16" t="str">
        <x:v>24/24</x:v>
      </x:c>
      <x:c r="E6" s="16" t="str">
        <x:f>IF(C6&gt;=B6,"Cumple","No cumple")</x:f>
        <x:v>Cumple</x:v>
      </x:c>
      <x:c r="F6" s="17" t="str">
        <x:v>Todas las fuentes evaluables fueron relevantes. IC95% Wilson: 86.2%–100.0%.</x:v>
      </x:c>
      <x:c r="H6" s="25" t="str">
        <x:v>supports</x:v>
      </x:c>
      <x:c r="I6" s="1" t="n">
        <x:f>COUNTIFS(Fuentes!$K$2:$K$25,$H6,Fuentes!$G$2:$G$25,I$5)</x:f>
        <x:v>14</x:v>
      </x:c>
      <x:c r="J6" s="1" t="n">
        <x:f>COUNTIFS(Fuentes!$K$2:$K$25,$H6,Fuentes!$G$2:$G$25,J$5)</x:f>
        <x:v>0</x:v>
      </x:c>
      <x:c r="K6" s="1" t="n">
        <x:f>COUNTIFS(Fuentes!$K$2:$K$25,$H6,Fuentes!$G$2:$G$25,K$5)</x:f>
        <x:v>3</x:v>
      </x:c>
      <x:c r="L6" s="1" t="n">
        <x:f>COUNTIFS(Fuentes!$K$2:$K$25,$H6,Fuentes!$G$2:$G$25,L$5)</x:f>
        <x:v>0</x:v>
      </x:c>
      <x:c r="M6" s="1" t="n">
        <x:f>SUM(I6:L6)</x:f>
        <x:v>17</x:v>
      </x:c>
    </x:row>
    <x:row r="7" ht="45" customHeight="1">
      <x:c r="A7" s="20" t="str">
        <x:v>Cobertura útil</x:v>
      </x:c>
      <x:c r="B7" s="21" t="n">
        <x:v>0.8</x:v>
      </x:c>
      <x:c r="C7" s="21" t="n">
        <x:f>(COUNTIFS(Cobertura!$H$2:$H$21,"sufficient")+COUNTIFS(Cobertura!$H$2:$H$21,"partial"))/COUNTA(Cobertura!$H$2:$H$21)</x:f>
        <x:v>0.7</x:v>
      </x:c>
      <x:c r="D7" s="16" t="str">
        <x:v>14/20</x:v>
      </x:c>
      <x:c r="E7" s="16" t="str">
        <x:f>IF(C7&gt;=B7,"Cumple","No cumple")</x:f>
        <x:v>No cumple</x:v>
      </x:c>
      <x:c r="F7" s="17" t="str">
        <x:v>Incluye sufficient y partial entre casos donde la revisión determinó que existía evidencia.</x:v>
      </x:c>
      <x:c r="H7" s="25" t="str">
        <x:v>refutes</x:v>
      </x:c>
      <x:c r="I7" s="1" t="n">
        <x:f>COUNTIFS(Fuentes!$K$2:$K$25,$H7,Fuentes!$G$2:$G$25,I$5)</x:f>
        <x:v>0</x:v>
      </x:c>
      <x:c r="J7" s="1" t="n">
        <x:f>COUNTIFS(Fuentes!$K$2:$K$25,$H7,Fuentes!$G$2:$G$25,J$5)</x:f>
        <x:v>0</x:v>
      </x:c>
      <x:c r="K7" s="1" t="n">
        <x:f>COUNTIFS(Fuentes!$K$2:$K$25,$H7,Fuentes!$G$2:$G$25,K$5)</x:f>
        <x:v>0</x:v>
      </x:c>
      <x:c r="L7" s="1" t="n">
        <x:f>COUNTIFS(Fuentes!$K$2:$K$25,$H7,Fuentes!$G$2:$G$25,L$5)</x:f>
        <x:v>0</x:v>
      </x:c>
      <x:c r="M7" s="1" t="n">
        <x:f>SUM(I7:L7)</x:f>
        <x:v>0</x:v>
      </x:c>
    </x:row>
    <x:row r="8" ht="45" customHeight="1">
      <x:c r="A8" s="20" t="str">
        <x:v>Exactitud de postura</x:v>
      </x:c>
      <x:c r="B8" s="21" t="n">
        <x:v>0.75</x:v>
      </x:c>
      <x:c r="C8" s="21" t="n">
        <x:f>COUNTIFS(Fuentes!$L$2:$L$25,"True")/COUNTA(Fuentes!$L$2:$L$25)</x:f>
        <x:v>0.7916666666666666</x:v>
      </x:c>
      <x:c r="D8" s="16" t="str">
        <x:v>19/24</x:v>
      </x:c>
      <x:c r="E8" s="16" t="str">
        <x:f>IF(C8&gt;=B8,"Cumple","No cumple")</x:f>
        <x:v>Cumple</x:v>
      </x:c>
      <x:c r="F8" s="17" t="str">
        <x:v>La incertidumbre es amplia por el tamaño muestral. IC95% Wilson: 59.5%–90.8%.</x:v>
      </x:c>
      <x:c r="H8" s="25" t="str">
        <x:v>discusses</x:v>
      </x:c>
      <x:c r="I8" s="1" t="n">
        <x:f>COUNTIFS(Fuentes!$K$2:$K$25,$H8,Fuentes!$G$2:$G$25,I$5)</x:f>
        <x:v>2</x:v>
      </x:c>
      <x:c r="J8" s="1" t="n">
        <x:f>COUNTIFS(Fuentes!$K$2:$K$25,$H8,Fuentes!$G$2:$G$25,J$5)</x:f>
        <x:v>0</x:v>
      </x:c>
      <x:c r="K8" s="1" t="n">
        <x:f>COUNTIFS(Fuentes!$K$2:$K$25,$H8,Fuentes!$G$2:$G$25,K$5)</x:f>
        <x:v>5</x:v>
      </x:c>
      <x:c r="L8" s="1" t="n">
        <x:f>COUNTIFS(Fuentes!$K$2:$K$25,$H8,Fuentes!$G$2:$G$25,L$5)</x:f>
        <x:v>0</x:v>
      </x:c>
      <x:c r="M8" s="1" t="n">
        <x:f>SUM(I8:L8)</x:f>
        <x:v>7</x:v>
      </x:c>
    </x:row>
    <x:row r="9" ht="45" customHeight="1">
      <x:c r="A9" s="20" t="str">
        <x:v>Tasa de vacíos falsos</x:v>
      </x:c>
      <x:c r="B9" s="21" t="n">
        <x:v>0.2</x:v>
      </x:c>
      <x:c r="C9" s="21" t="n">
        <x:f>COUNTIFS(Cobertura!$E$2:$E$21,0,Cobertura!$H$2:$H$21,"none")/COUNTIFS(Cobertura!$E$2:$E$21,0)</x:f>
        <x:v>1</x:v>
      </x:c>
      <x:c r="D9" s="16" t="str">
        <x:v>6/6</x:v>
      </x:c>
      <x:c r="E9" s="16" t="str">
        <x:f>IF(C9&lt;=B9,"Cumple","No cumple")</x:f>
        <x:v>No cumple</x:v>
      </x:c>
      <x:c r="F9" s="17" t="str">
        <x:v>Los seis resultados sin fuentes omitieron evidencia que la revisión humana consideró pertinente.</x:v>
      </x:c>
      <x:c r="H9" s="25" t="str">
        <x:v>unrelated</x:v>
      </x:c>
      <x:c r="I9" s="1" t="n">
        <x:f>COUNTIFS(Fuentes!$K$2:$K$25,$H9,Fuentes!$G$2:$G$25,I$5)</x:f>
        <x:v>0</x:v>
      </x:c>
      <x:c r="J9" s="1" t="n">
        <x:f>COUNTIFS(Fuentes!$K$2:$K$25,$H9,Fuentes!$G$2:$G$25,J$5)</x:f>
        <x:v>0</x:v>
      </x:c>
      <x:c r="K9" s="1" t="n">
        <x:f>COUNTIFS(Fuentes!$K$2:$K$25,$H9,Fuentes!$G$2:$G$25,K$5)</x:f>
        <x:v>0</x:v>
      </x:c>
      <x:c r="L9" s="1" t="n">
        <x:f>COUNTIFS(Fuentes!$K$2:$K$25,$H9,Fuentes!$G$2:$G$25,L$5)</x:f>
        <x:v>0</x:v>
      </x:c>
      <x:c r="M9" s="1" t="n">
        <x:f>SUM(I9:L9)</x:f>
        <x:v>0</x:v>
      </x:c>
    </x:row>
    <x:row r="10">
      <x:c r="H10" s="25" t="str">
        <x:v>Total</x:v>
      </x:c>
      <x:c r="I10" s="1" t="n">
        <x:f>SUM(I6:I9)</x:f>
        <x:v>16</x:v>
      </x:c>
      <x:c r="J10" s="1" t="n">
        <x:f>SUM(J6:J9)</x:f>
        <x:v>0</x:v>
      </x:c>
      <x:c r="K10" s="1" t="n">
        <x:f>SUM(K6:K9)</x:f>
        <x:v>8</x:v>
      </x:c>
      <x:c r="L10" s="1" t="n">
        <x:f>SUM(L6:L9)</x:f>
        <x:v>0</x:v>
      </x:c>
      <x:c r="M10" s="1" t="n">
        <x:f>SUM(M6:M9)</x:f>
        <x:v>24</x:v>
      </x:c>
    </x:row>
    <x:row r="12">
      <x:c r="A12" s="24" t="str">
        <x:v>Conclusión</x:v>
      </x:c>
      <x:c r="B12" s="24"/>
      <x:c r="C12" s="24"/>
      <x:c r="D12" s="24"/>
      <x:c r="E12" s="24"/>
      <x:c r="F12" s="24"/>
      <x:c r="H12" s="24" t="str">
        <x:v>Acuerdo antes de adjudicar</x:v>
      </x:c>
      <x:c r="I12" s="24"/>
      <x:c r="J12" s="24"/>
      <x:c r="K12" s="24"/>
      <x:c r="L12" s="24"/>
      <x:c r="M12" s="24"/>
    </x:row>
    <x:row r="13" ht="38" customHeight="1">
      <x:c r="A13" s="25" t="str">
        <x:v>Decisión global</x:v>
      </x:c>
      <x:c r="B13" s="27" t="str">
        <x:f>IF(COUNTIFS(E5:E9,"Cumple")=5,"APROBADA","NO APROBADA")</x:f>
        <x:v>NO APROBADA</x:v>
      </x:c>
      <x:c r="C13" s="26"/>
      <x:c r="D13" s="26"/>
      <x:c r="E13" s="26"/>
      <x:c r="F13" s="26"/>
      <x:c r="H13" s="13" t="str">
        <x:v>Medida</x:v>
      </x:c>
      <x:c r="I13" s="14" t="str">
        <x:v>Resultado</x:v>
      </x:c>
      <x:c r="J13" s="15" t="str">
        <x:v>Base</x:v>
      </x:c>
    </x:row>
    <x:row r="14" ht="38" customHeight="1">
      <x:c r="A14" s="25" t="str">
        <x:v>Criterios cumplidos</x:v>
      </x:c>
      <x:c r="B14" s="26" t="str">
        <x:v>2 de 5</x:v>
      </x:c>
      <x:c r="C14" s="26"/>
      <x:c r="D14" s="26"/>
      <x:c r="E14" s="26"/>
      <x:c r="F14" s="26"/>
      <x:c r="H14" s="25" t="str">
        <x:v>Evaluabilidad de fuentes</x:v>
      </x:c>
      <x:c r="I14" s="28" t="n">
        <x:v>0.9166666666666666</x:v>
      </x:c>
      <x:c r="J14" s="1" t="str">
        <x:v>24 pares</x:v>
      </x:c>
    </x:row>
    <x:row r="15" ht="38" customHeight="1">
      <x:c r="A15" s="25" t="str">
        <x:v>Fortalezas</x:v>
      </x:c>
      <x:c r="B15" s="26" t="str">
        <x:v>Precisión de fuentes y clasificación de postura.</x:v>
      </x:c>
      <x:c r="C15" s="26"/>
      <x:c r="D15" s="26"/>
      <x:c r="E15" s="26"/>
      <x:c r="F15" s="26"/>
      <x:c r="H15" s="25" t="str">
        <x:v>Postura entre pares evaluables</x:v>
      </x:c>
      <x:c r="I15" s="28" t="n">
        <x:v>0.8636363636363636</x:v>
      </x:c>
      <x:c r="J15" s="1" t="str">
        <x:v>22 pares</x:v>
      </x:c>
    </x:row>
    <x:row r="16" ht="38" customHeight="1">
      <x:c r="A16" s="25" t="str">
        <x:v>Problema principal</x:v>
      </x:c>
      <x:c r="B16" s="26" t="str">
        <x:v>Recuperación insuficiente, cobertura útil baja y vacíos falsos.</x:v>
      </x:c>
      <x:c r="C16" s="26"/>
      <x:c r="D16" s="26"/>
      <x:c r="E16" s="26"/>
      <x:c r="F16" s="26"/>
      <x:c r="H16" s="25" t="str">
        <x:v>Cobertura por publicación</x:v>
      </x:c>
      <x:c r="I16" s="28" t="n">
        <x:v>0.8</x:v>
      </x:c>
      <x:c r="J16" s="1" t="str">
        <x:v>20 casos</x:v>
      </x:c>
    </x:row>
    <x:row r="17" ht="38" customHeight="1">
      <x:c r="A17" s="25" t="str">
        <x:v>Siguiente prioridad</x:v>
      </x:c>
      <x:c r="B17" s="26" t="str">
        <x:v>Mejorar la recuperación y el tratamiento de publicaciones originales o de opinión antes de repetir una prueba ciega.</x:v>
      </x:c>
      <x:c r="C17" s="26"/>
      <x:c r="D17" s="26"/>
      <x:c r="E17" s="26"/>
      <x:c r="F17" s="26"/>
      <x:c r="H17" s="25" t="str">
        <x:v>Existencia de evidencia faltante</x:v>
      </x:c>
      <x:c r="I17" s="28" t="n">
        <x:v>0.8</x:v>
      </x:c>
      <x:c r="J17" s="1" t="str">
        <x:v>20 casos</x:v>
      </x:c>
    </x:row>
  </x:sheetData>
  <x:mergeCells>
    <x:mergeCell ref="A2:F2"/>
    <x:mergeCell ref="A12:F12"/>
    <x:mergeCell ref="B13:F13"/>
    <x:mergeCell ref="B14:F14"/>
    <x:mergeCell ref="B15:F15"/>
    <x:mergeCell ref="B16:F16"/>
    <x:mergeCell ref="B17:F17"/>
    <x:mergeCell ref="H4:M4"/>
    <x:mergeCell ref="H12:M12"/>
  </x:mergeCells>
  <x:conditionalFormatting sqref="E5:E9">
    <x:cfRule type="containsText" dxfId="0" priority="1" operator="containsText" text="No cump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42" hidden="0" customWidth="1"/>
    <x:col min="4" max="4" width="22" hidden="0" customWidth="1"/>
    <x:col min="5" max="5" width="42" hidden="0" customWidth="1"/>
    <x:col min="6" max="6" width="38" hidden="0" customWidth="1"/>
    <x:col min="7" max="7" width="16" hidden="0" customWidth="1"/>
    <x:col min="8" max="8" width="19" hidden="0" customWidth="1"/>
    <x:col min="9" max="9" width="18" hidden="0" customWidth="1"/>
    <x:col min="10" max="10" width="19" hidden="0" customWidth="1"/>
    <x:col min="11" max="11" width="16" hidden="0" customWidth="1"/>
    <x:col min="12" max="12" width="18" hidden="0" customWidth="1"/>
    <x:col min="13" max="13" width="18" hidden="0" customWidth="1"/>
    <x:col min="14" max="14" width="54" hidden="0" customWidth="1"/>
  </x:cols>
  <x:sheetData>
    <x:row r="1" ht="42" customHeight="1">
      <x:c r="A1" s="13" t="str">
        <x:v>evidence_id</x:v>
      </x:c>
      <x:c r="B1" s="14" t="str">
        <x:v>case_id</x:v>
      </x:c>
      <x:c r="C1" s="14" t="str">
        <x:v>claim</x:v>
      </x:c>
      <x:c r="D1" s="14" t="str">
        <x:v>source_name</x:v>
      </x:c>
      <x:c r="E1" s="14" t="str">
        <x:v>source_title</x:v>
      </x:c>
      <x:c r="F1" s="14" t="str">
        <x:v>source_url</x:v>
      </x:c>
      <x:c r="G1" s="14" t="str">
        <x:v>model_stance</x:v>
      </x:c>
      <x:c r="H1" s="14" t="str">
        <x:v>annotator_a_status</x:v>
      </x:c>
      <x:c r="I1" s="14" t="str">
        <x:v>annotator_a_stance</x:v>
      </x:c>
      <x:c r="J1" s="14" t="str">
        <x:v>annotator_b_status</x:v>
      </x:c>
      <x:c r="K1" s="14" t="str">
        <x:v>final_stance</x:v>
      </x:c>
      <x:c r="L1" s="14" t="str">
        <x:v>model_matches_final</x:v>
      </x:c>
      <x:c r="M1" s="14" t="str">
        <x:v>decision_source</x:v>
      </x:c>
      <x:c r="N1" s="15" t="str">
        <x:v>adjudication_rationale</x:v>
      </x:c>
    </x:row>
    <x:row r="2" ht="58" customHeight="1">
      <x:c r="A2" s="16" t="str">
        <x:v>V4-001-S01</x:v>
      </x:c>
      <x:c r="B2" s="16" t="str">
        <x:v>V4-001</x:v>
      </x:c>
      <x:c r="C2" s="17" t="str">
        <x:v>Transparencia: “Rechazamos insinuaciones de fraude o manipulación de los resultados de la segunda vuelta”</x:v>
      </x:c>
      <x:c r="D2" s="16" t="str">
        <x:v>La República</x:v>
      </x:c>
      <x:c r="E2" s="17" t="str">
        <x:v>Transparencia rechaza acusaciones de fraude en la segunda vuelta: "La democracia exige que respeten las reglas"</x:v>
      </x:c>
      <x:c r="F2" s="17" t="str">
        <x:v>https://larepublica.pe/politica/2026/06/24/transparencia-rechaza-acusaciones-de-fraude-en-la-segunda-vuelta-la-democracia-exige-que-respeten-las-reglas-hnews-2098704</x:v>
      </x:c>
      <x:c r="G2" s="16" t="str">
        <x:v>supports</x:v>
      </x:c>
      <x:c r="H2" s="16" t="str">
        <x:v>evaluable</x:v>
      </x:c>
      <x:c r="I2" s="16" t="str">
        <x:v>supports</x:v>
      </x:c>
      <x:c r="J2" s="16" t="str">
        <x:v>evaluable</x:v>
      </x:c>
      <x:c r="K2" s="16" t="str">
        <x:v>supports</x:v>
      </x:c>
      <x:c r="L2" s="16" t="str">
        <x:v>True</x:v>
      </x:c>
      <x:c r="M2" s="16" t="str">
        <x:v>exact_consensus</x:v>
      </x:c>
      <x:c r="N2" s="17" t="str"/>
    </x:row>
    <x:row r="3" ht="58" customHeight="1">
      <x:c r="A3" s="16" t="str">
        <x:v>V4-001-S02</x:v>
      </x:c>
      <x:c r="B3" s="16" t="str">
        <x:v>V4-001</x:v>
      </x:c>
      <x:c r="C3" s="17" t="str">
        <x:v>Transparencia: “Rechazamos insinuaciones de fraude o manipulación de los resultados de la segunda vuelta”</x:v>
      </x:c>
      <x:c r="D3" s="16" t="str">
        <x:v>Infobae Perú</x:v>
      </x:c>
      <x:c r="E3" s="17" t="str">
        <x:v>Transparencia responde a Roberto Sánchez y rechaza denuncias de fraude electoral: “Respeten las reglas del proceso”</x:v>
      </x:c>
      <x:c r="F3" s="17" t="str">
        <x:v>https://www.infobae.com/peru/2026/06/23/transparencia-responde-a-roberto-sanchez-y-rechaza-denuncias-de-fraude-electoral-respeten-las-reglas-del-proceso/</x:v>
      </x:c>
      <x:c r="G3" s="16" t="str">
        <x:v>supports</x:v>
      </x:c>
      <x:c r="H3" s="16" t="str">
        <x:v>evaluable</x:v>
      </x:c>
      <x:c r="I3" s="16" t="str">
        <x:v>supports</x:v>
      </x:c>
      <x:c r="J3" s="16" t="str">
        <x:v>evaluable</x:v>
      </x:c>
      <x:c r="K3" s="16" t="str">
        <x:v>supports</x:v>
      </x:c>
      <x:c r="L3" s="16" t="str">
        <x:v>True</x:v>
      </x:c>
      <x:c r="M3" s="16" t="str">
        <x:v>exact_consensus</x:v>
      </x:c>
      <x:c r="N3" s="17" t="str"/>
    </x:row>
    <x:row r="4" ht="58" customHeight="1">
      <x:c r="A4" s="16" t="str">
        <x:v>V4-002-S01</x:v>
      </x:c>
      <x:c r="B4" s="16" t="str">
        <x:v>V4-002</x:v>
      </x:c>
      <x:c r="C4" s="17" t="str">
        <x:v>Carlos Bruce: Somos Perú presenta solicitud de inscripción de su lista para la alcaldía de Lima</x:v>
      </x:c>
      <x:c r="D4" s="16" t="str">
        <x:v>Infobae Perú</x:v>
      </x:c>
      <x:c r="E4" s="17" t="str">
        <x:v>Elecciones 2026: Carlos Bruce es el primer candidato inscrito para la alcaldía de Lima</x:v>
      </x:c>
      <x:c r="F4" s="17" t="str">
        <x:v>https://www.infobae.com/peru/2026/06/18/elecciones-2026-carlos-bruce-es-el-primer-candidato-inscrito-para-la-alcaldia-de-lima/</x:v>
      </x:c>
      <x:c r="G4" s="16" t="str">
        <x:v>supports</x:v>
      </x:c>
      <x:c r="H4" s="16" t="str">
        <x:v>evaluable</x:v>
      </x:c>
      <x:c r="I4" s="16" t="str">
        <x:v>supports</x:v>
      </x:c>
      <x:c r="J4" s="16" t="str">
        <x:v>evaluable</x:v>
      </x:c>
      <x:c r="K4" s="16" t="str">
        <x:v>supports</x:v>
      </x:c>
      <x:c r="L4" s="16" t="str">
        <x:v>True</x:v>
      </x:c>
      <x:c r="M4" s="16" t="str">
        <x:v>exact_consensus</x:v>
      </x:c>
      <x:c r="N4" s="17" t="str"/>
    </x:row>
    <x:row r="5" ht="58" customHeight="1">
      <x:c r="A5" s="16" t="str">
        <x:v>V4-002-S02</x:v>
      </x:c>
      <x:c r="B5" s="16" t="str">
        <x:v>V4-002</x:v>
      </x:c>
      <x:c r="C5" s="17" t="str">
        <x:v>Carlos Bruce: Somos Perú presenta solicitud de inscripción de su lista para la alcaldía de Lima</x:v>
      </x:c>
      <x:c r="D5" s="16" t="str">
        <x:v>Gestión</x:v>
      </x:c>
      <x:c r="E5" s="17" t="str">
        <x:v>Somos Perú inscribe a Carlos Bruce como candidato a la alcaldía de Lima para 2026</x:v>
      </x:c>
      <x:c r="F5" s="17" t="str">
        <x:v>https://gestion.pe/peru/somos-peru-inscribe-a-carlos-bruce-como-candidato-a-la-alcaldia-de-lima-para-2026-noticia/</x:v>
      </x:c>
      <x:c r="G5" s="16" t="str">
        <x:v>supports</x:v>
      </x:c>
      <x:c r="H5" s="16" t="str">
        <x:v>evaluable</x:v>
      </x:c>
      <x:c r="I5" s="16" t="str">
        <x:v>supports</x:v>
      </x:c>
      <x:c r="J5" s="16" t="str">
        <x:v>evaluable</x:v>
      </x:c>
      <x:c r="K5" s="16" t="str">
        <x:v>supports</x:v>
      </x:c>
      <x:c r="L5" s="16" t="str">
        <x:v>True</x:v>
      </x:c>
      <x:c r="M5" s="16" t="str">
        <x:v>exact_consensus</x:v>
      </x:c>
      <x:c r="N5" s="17" t="str"/>
    </x:row>
    <x:row r="6" ht="58" customHeight="1">
      <x:c r="A6" s="16" t="str">
        <x:v>V4-006-S01</x:v>
      </x:c>
      <x:c r="B6" s="16" t="str">
        <x:v>V4-006</x:v>
      </x:c>
      <x:c r="C6" s="17" t="str">
        <x:v>Keiko Fujimori: “Aquello que viene funcionando bien lo vamos a fortalecer y continuar”</x:v>
      </x:c>
      <x:c r="D6" s="16" t="str">
        <x:v>JNE</x:v>
      </x:c>
      <x:c r="E6" s="17" t="str">
        <x:v>Jurado Nacional de Elecciones</x:v>
      </x:c>
      <x:c r="F6" s="17" t="str">
        <x:v>https://portal.jne.gob.pe/portal/Pagina/Nota/20401</x:v>
      </x:c>
      <x:c r="G6" s="16" t="str">
        <x:v>supports</x:v>
      </x:c>
      <x:c r="H6" s="16" t="str">
        <x:v>evaluable</x:v>
      </x:c>
      <x:c r="I6" s="16" t="str">
        <x:v>discusses</x:v>
      </x:c>
      <x:c r="J6" s="16" t="str">
        <x:v>insufficient_context</x:v>
      </x:c>
      <x:c r="K6" s="16" t="str">
        <x:v>discusses</x:v>
      </x:c>
      <x:c r="L6" s="16" t="str">
        <x:v>False</x:v>
      </x:c>
      <x:c r="M6" s="16" t="str">
        <x:v>adjudication</x:v>
      </x:c>
      <x:c r="N6" s="17" t="str">
        <x:v>La página del JNE acredita la proclamación de Keiko Fujimori, pero no contiene la cita sobre fortalecer y continuar lo que funciona.</x:v>
      </x:c>
    </x:row>
    <x:row r="7" ht="58" customHeight="1">
      <x:c r="A7" s="16" t="str">
        <x:v>V4-007-S01</x:v>
      </x:c>
      <x:c r="B7" s="16" t="str">
        <x:v>V4-007</x:v>
      </x:c>
      <x:c r="C7" s="17" t="str">
        <x:v>Junta Nacional de Justicia evaluó los planes de trabajo de los dos postulantes al cargo de jefe de la ONPE</x:v>
      </x:c>
      <x:c r="D7" s="16" t="str">
        <x:v>Gobierno del Perú</x:v>
      </x:c>
      <x:c r="E7" s="17" t="str">
        <x:v>JNJ evaluó los planes de trabajo de los postulantes al cargo de jefe de ONPE</x:v>
      </x:c>
      <x:c r="F7" s="17" t="str">
        <x:v>https://www.gob.pe/institucion/jnj/noticias/1407262-jnj-evaluo-los-planes-de-trabajo-de-los-postulantes-al-cargo-de-jefe-de-onpe</x:v>
      </x:c>
      <x:c r="G7" s="16" t="str">
        <x:v>supports</x:v>
      </x:c>
      <x:c r="H7" s="16" t="str">
        <x:v>evaluable</x:v>
      </x:c>
      <x:c r="I7" s="16" t="str">
        <x:v>supports</x:v>
      </x:c>
      <x:c r="J7" s="16" t="str">
        <x:v>evaluable</x:v>
      </x:c>
      <x:c r="K7" s="16" t="str">
        <x:v>supports</x:v>
      </x:c>
      <x:c r="L7" s="16" t="str">
        <x:v>True</x:v>
      </x:c>
      <x:c r="M7" s="16" t="str">
        <x:v>exact_consensus</x:v>
      </x:c>
      <x:c r="N7" s="17" t="str"/>
    </x:row>
    <x:row r="8" ht="58" customHeight="1">
      <x:c r="A8" s="16" t="str">
        <x:v>V4-007-S02</x:v>
      </x:c>
      <x:c r="B8" s="16" t="str">
        <x:v>V4-007</x:v>
      </x:c>
      <x:c r="C8" s="17" t="str">
        <x:v>Junta Nacional de Justicia evaluó los planes de trabajo de los dos postulantes al cargo de jefe de la ONPE</x:v>
      </x:c>
      <x:c r="D8" s="16" t="str">
        <x:v>Gestión</x:v>
      </x:c>
      <x:c r="E8" s="17" t="str">
        <x:v>Carlos Loyola y Amparo Ortega pasan a la entrevista final en proceso del nuevo jefe de la ONPE</x:v>
      </x:c>
      <x:c r="F8" s="17" t="str">
        <x:v>https://gestion.pe/peru/politica/carlos-loyola-y-amparo-ortega-pasan-a-la-entrevista-final-en-proceso-del-nuevo-jefe-de-la-onpe-noticia/</x:v>
      </x:c>
      <x:c r="G8" s="16" t="str">
        <x:v>discusses</x:v>
      </x:c>
      <x:c r="H8" s="16" t="str">
        <x:v>evaluable</x:v>
      </x:c>
      <x:c r="I8" s="16" t="str">
        <x:v>discusses</x:v>
      </x:c>
      <x:c r="J8" s="16" t="str">
        <x:v>evaluable</x:v>
      </x:c>
      <x:c r="K8" s="16" t="str">
        <x:v>supports</x:v>
      </x:c>
      <x:c r="L8" s="16" t="str">
        <x:v>False</x:v>
      </x:c>
      <x:c r="M8" s="16" t="str">
        <x:v>adjudication</x:v>
      </x:c>
      <x:c r="N8" s="17" t="str">
        <x:v>La nota de Gestión indica que ambos postulantes sustentaron sus planes de trabajo ante el pleno de la JNJ y avanzaron a la entrevista final.</x:v>
      </x:c>
    </x:row>
    <x:row r="9" ht="58" customHeight="1">
      <x:c r="A9" s="16" t="str">
        <x:v>V4-010-S01</x:v>
      </x:c>
      <x:c r="B9" s="16" t="str">
        <x:v>V4-010</x:v>
      </x:c>
      <x:c r="C9" s="17" t="str">
        <x:v>Poder Judicial archivó la acusación fiscal por asociación ilícita contra Ollanta Humala, Nadine Heredia y otros en caso Gasoducto Sur Peruano</x:v>
      </x:c>
      <x:c r="D9" s="16" t="str">
        <x:v>Infobae Perú</x:v>
      </x:c>
      <x:c r="E9" s="17" t="str">
        <x:v>Poder Judicial archiva acusación contra Ollanta Humala y Nadine Heredia por caso Gasoducto Sur Peruano</x:v>
      </x:c>
      <x:c r="F9" s="17" t="str">
        <x:v>https://www.infobae.com/peru/2026/07/05/poder-judicial-archiva-acusacion-contra-ollanta-humala-y-nadine-heredia-por-caso-gasoducto-sur-peruano/</x:v>
      </x:c>
      <x:c r="G9" s="16" t="str">
        <x:v>supports</x:v>
      </x:c>
      <x:c r="H9" s="16" t="str">
        <x:v>evaluable</x:v>
      </x:c>
      <x:c r="I9" s="16" t="str">
        <x:v>supports</x:v>
      </x:c>
      <x:c r="J9" s="16" t="str">
        <x:v>evaluable</x:v>
      </x:c>
      <x:c r="K9" s="16" t="str">
        <x:v>supports</x:v>
      </x:c>
      <x:c r="L9" s="16" t="str">
        <x:v>True</x:v>
      </x:c>
      <x:c r="M9" s="16" t="str">
        <x:v>exact_consensus</x:v>
      </x:c>
      <x:c r="N9" s="17" t="str"/>
    </x:row>
    <x:row r="10" ht="58" customHeight="1">
      <x:c r="A10" s="16" t="str">
        <x:v>V4-010-S02</x:v>
      </x:c>
      <x:c r="B10" s="16" t="str">
        <x:v>V4-010</x:v>
      </x:c>
      <x:c r="C10" s="17" t="str">
        <x:v>Poder Judicial archivó la acusación fiscal por asociación ilícita contra Ollanta Humala, Nadine Heredia y otros en caso Gasoducto Sur Peruano</x:v>
      </x:c>
      <x:c r="D10" s="16" t="str">
        <x:v>La República</x:v>
      </x:c>
      <x:c r="E10" s="17" t="str">
        <x:v>Caso Gaseoducto Sur: PJ archivó la acusación fiscal por presunta asociación ilícita contra Ollanta Humala y Nadine Heredia</x:v>
      </x:c>
      <x:c r="F10" s="17" t="str">
        <x:v>https://larepublica.pe/politica/2026/07/05/caso-gaseoducto-sur-poder-judicial-archivo-la-acusacion-fiscal-por-presunta-asociacion-ilicita-contra-ollanta-humala-y-nadine-heredia-hnews-477460</x:v>
      </x:c>
      <x:c r="G10" s="16" t="str">
        <x:v>supports</x:v>
      </x:c>
      <x:c r="H10" s="16" t="str">
        <x:v>evaluable</x:v>
      </x:c>
      <x:c r="I10" s="16" t="str">
        <x:v>supports</x:v>
      </x:c>
      <x:c r="J10" s="16" t="str">
        <x:v>evaluable</x:v>
      </x:c>
      <x:c r="K10" s="16" t="str">
        <x:v>supports</x:v>
      </x:c>
      <x:c r="L10" s="16" t="str">
        <x:v>True</x:v>
      </x:c>
      <x:c r="M10" s="16" t="str">
        <x:v>exact_consensus</x:v>
      </x:c>
      <x:c r="N10" s="17" t="str"/>
    </x:row>
    <x:row r="11" ht="58" customHeight="1">
      <x:c r="A11" s="16" t="str">
        <x:v>V4-011-S01</x:v>
      </x:c>
      <x:c r="B11" s="16" t="str">
        <x:v>V4-011</x:v>
      </x:c>
      <x:c r="C11" s="17" t="str">
        <x:v>Ejecutivo autoriza viaje del canciller Carlos Pareja a Panamá para participar en Asamblea General de la OEA</x:v>
      </x:c>
      <x:c r="D11" s="16" t="str">
        <x:v>El Peruano</x:v>
      </x:c>
      <x:c r="E11" s="17" t="str">
        <x:v>Autorizan viaje de canciller Carlos Pareja a Panamá para Asamblea General de la OEA</x:v>
      </x:c>
      <x:c r="F11" s="17" t="str">
        <x:v>https://elperuano.pe/noticia/298061-autorizan-viaje-de-canciller-carlos-pareja-a-panama-para-asamblea-general-de-la-oea</x:v>
      </x:c>
      <x:c r="G11" s="16" t="str">
        <x:v>supports</x:v>
      </x:c>
      <x:c r="H11" s="16" t="str">
        <x:v>evaluable</x:v>
      </x:c>
      <x:c r="I11" s="16" t="str">
        <x:v>supports</x:v>
      </x:c>
      <x:c r="J11" s="16" t="str">
        <x:v>evaluable</x:v>
      </x:c>
      <x:c r="K11" s="16" t="str">
        <x:v>supports</x:v>
      </x:c>
      <x:c r="L11" s="16" t="str">
        <x:v>True</x:v>
      </x:c>
      <x:c r="M11" s="16" t="str">
        <x:v>exact_consensus</x:v>
      </x:c>
      <x:c r="N11" s="17" t="str"/>
    </x:row>
    <x:row r="12" ht="58" customHeight="1">
      <x:c r="A12" s="16" t="str">
        <x:v>V4-011-S02</x:v>
      </x:c>
      <x:c r="B12" s="16" t="str">
        <x:v>V4-011</x:v>
      </x:c>
      <x:c r="C12" s="17" t="str">
        <x:v>Ejecutivo autoriza viaje del canciller Carlos Pareja a Panamá para participar en Asamblea General de la OEA</x:v>
      </x:c>
      <x:c r="D12" s="16" t="str">
        <x:v>El Peruano</x:v>
      </x:c>
      <x:c r="E12" s="17" t="str">
        <x:v>Autorizan viaje de Ministro de Relaciones Exteriores a República de Panamá, y encargan su Despacho al Presidente del Consejo de Ministros - RESOLUCIÓN SUPREMA -</x:v>
      </x:c>
      <x:c r="F12" s="17" t="str">
        <x:v>https://busquedas.elperuano.pe/dispositivo/NL/2526085-2</x:v>
      </x:c>
      <x:c r="G12" s="16" t="str">
        <x:v>supports</x:v>
      </x:c>
      <x:c r="H12" s="16" t="str">
        <x:v>evaluable</x:v>
      </x:c>
      <x:c r="I12" s="16" t="str">
        <x:v>supports</x:v>
      </x:c>
      <x:c r="J12" s="16" t="str">
        <x:v>insufficient_context</x:v>
      </x:c>
      <x:c r="K12" s="16" t="str">
        <x:v>supports</x:v>
      </x:c>
      <x:c r="L12" s="16" t="str">
        <x:v>True</x:v>
      </x:c>
      <x:c r="M12" s="16" t="str">
        <x:v>adjudication</x:v>
      </x:c>
      <x:c r="N12" s="17" t="str">
        <x:v>La Resolución Suprema N.º 182-2026-PCM autoriza expresamente el viaje de Carlos Pareja a Panamá para la Asamblea General de la OEA.</x:v>
      </x:c>
    </x:row>
    <x:row r="13" ht="58" customHeight="1">
      <x:c r="A13" s="16" t="str">
        <x:v>V4-012-S01</x:v>
      </x:c>
      <x:c r="B13" s="16" t="str">
        <x:v>V4-012</x:v>
      </x:c>
      <x:c r="C13" s="17" t="str">
        <x:v>Roberto Sánchez en pronunciamiento con López Chau y Belmont: “Reconocemos que JNE haya proclamado oficialmente los resultados electorales”</x:v>
      </x:c>
      <x:c r="D13" s="16" t="str">
        <x:v>El Peruano</x:v>
      </x:c>
      <x:c r="E13" s="17" t="str">
        <x:v>Roberto Sánchez reconoce resultados electorales proclamados por el JNE</x:v>
      </x:c>
      <x:c r="F13" s="17" t="str">
        <x:v>https://elperuano.pe/noticia/299589-roberto-sanchez-reconoce-resultados-electorales-proclamados-por-el-jne</x:v>
      </x:c>
      <x:c r="G13" s="16" t="str">
        <x:v>supports</x:v>
      </x:c>
      <x:c r="H13" s="16" t="str">
        <x:v>evaluable</x:v>
      </x:c>
      <x:c r="I13" s="16" t="str">
        <x:v>supports</x:v>
      </x:c>
      <x:c r="J13" s="16" t="str">
        <x:v>evaluable</x:v>
      </x:c>
      <x:c r="K13" s="16" t="str">
        <x:v>supports</x:v>
      </x:c>
      <x:c r="L13" s="16" t="str">
        <x:v>True</x:v>
      </x:c>
      <x:c r="M13" s="16" t="str">
        <x:v>exact_consensus</x:v>
      </x:c>
      <x:c r="N13" s="17" t="str"/>
    </x:row>
    <x:row r="14" ht="58" customHeight="1">
      <x:c r="A14" s="16" t="str">
        <x:v>V4-012-S02</x:v>
      </x:c>
      <x:c r="B14" s="16" t="str">
        <x:v>V4-012</x:v>
      </x:c>
      <x:c r="C14" s="17" t="str">
        <x:v>Roberto Sánchez en pronunciamiento con López Chau y Belmont: “Reconocemos que JNE haya proclamado oficialmente los resultados electorales”</x:v>
      </x:c>
      <x:c r="D14" s="16" t="str">
        <x:v>Infobae Perú</x:v>
      </x:c>
      <x:c r="E14" s="17" t="str">
        <x:v>Roberto Sánchez anuncia coalición parlamentaria con Juntos por el Perú, Ahora Nación y Obras</x:v>
      </x:c>
      <x:c r="F14" s="17" t="str">
        <x:v>https://www.infobae.com/peru/2026/07/06/roberto-sanchez-anuncia-coalicion-parlamentaria-con-juntos-por-el-peru-ahora-nacion-y-obras/</x:v>
      </x:c>
      <x:c r="G14" s="16" t="str">
        <x:v>discusses</x:v>
      </x:c>
      <x:c r="H14" s="16" t="str">
        <x:v>evaluable</x:v>
      </x:c>
      <x:c r="I14" s="16" t="str">
        <x:v>supports</x:v>
      </x:c>
      <x:c r="J14" s="16" t="str">
        <x:v>evaluable</x:v>
      </x:c>
      <x:c r="K14" s="16" t="str">
        <x:v>supports</x:v>
      </x:c>
      <x:c r="L14" s="16" t="str">
        <x:v>False</x:v>
      </x:c>
      <x:c r="M14" s="16" t="str">
        <x:v>exact_consensus</x:v>
      </x:c>
      <x:c r="N14" s="17" t="str"/>
    </x:row>
    <x:row r="15" ht="58" customHeight="1">
      <x:c r="A15" s="16" t="str">
        <x:v>V4-013-S01</x:v>
      </x:c>
      <x:c r="B15" s="16" t="str">
        <x:v>V4-013</x:v>
      </x:c>
      <x:c r="C15" s="17" t="str">
        <x:v>Elecciones regionales y municipales 2026: JNE admitirá todas las listas de candidatos hasta el 5 de agosto</x:v>
      </x:c>
      <x:c r="D15" s="16" t="str">
        <x:v>Andina</x:v>
      </x:c>
      <x:c r="E15" s="17" t="str">
        <x:v>ERM 2026: hoy miércoles 5 es la fecha límite para publicar listas de candidatos admitidas</x:v>
      </x:c>
      <x:c r="F15" s="17" t="str">
        <x:v>https://andina.pe/agencia/noticia-erm-2026-hoy-miercoles-5-es-fecha-limite-para-publicar-listas-candidatos-admitidas-1086310.aspx</x:v>
      </x:c>
      <x:c r="G15" s="16" t="str">
        <x:v>supports</x:v>
      </x:c>
      <x:c r="H15" s="16" t="str">
        <x:v>evaluable</x:v>
      </x:c>
      <x:c r="I15" s="16" t="str">
        <x:v>supports</x:v>
      </x:c>
      <x:c r="J15" s="16" t="str">
        <x:v>evaluable</x:v>
      </x:c>
      <x:c r="K15" s="16" t="str">
        <x:v>supports</x:v>
      </x:c>
      <x:c r="L15" s="16" t="str">
        <x:v>True</x:v>
      </x:c>
      <x:c r="M15" s="16" t="str">
        <x:v>exact_consensus</x:v>
      </x:c>
      <x:c r="N15" s="17" t="str"/>
    </x:row>
    <x:row r="16" ht="58" customHeight="1">
      <x:c r="A16" s="16" t="str">
        <x:v>V4-014-S01</x:v>
      </x:c>
      <x:c r="B16" s="16" t="str">
        <x:v>V4-014</x:v>
      </x:c>
      <x:c r="C16" s="17" t="str">
        <x:v>Partidos inician proceso de inscripción de candidatos a la alcaldía de Lima a contrarreloj</x:v>
      </x:c>
      <x:c r="D16" s="16" t="str">
        <x:v>Infobae Perú</x:v>
      </x:c>
      <x:c r="E16" s="17" t="str">
        <x:v>Elecciones 2026: Carlos Bruce es el primer candidato inscrito para la alcaldía de Lima</x:v>
      </x:c>
      <x:c r="F16" s="17" t="str">
        <x:v>https://www.infobae.com/peru/2026/06/18/elecciones-2026-carlos-bruce-es-el-primer-candidato-inscrito-para-la-alcaldia-de-lima/</x:v>
      </x:c>
      <x:c r="G16" s="16" t="str">
        <x:v>supports</x:v>
      </x:c>
      <x:c r="H16" s="16" t="str">
        <x:v>evaluable</x:v>
      </x:c>
      <x:c r="I16" s="16" t="str">
        <x:v>discusses</x:v>
      </x:c>
      <x:c r="J16" s="16" t="str">
        <x:v>evaluable</x:v>
      </x:c>
      <x:c r="K16" s="16" t="str">
        <x:v>discusses</x:v>
      </x:c>
      <x:c r="L16" s="16" t="str">
        <x:v>False</x:v>
      </x:c>
      <x:c r="M16" s="16" t="str">
        <x:v>exact_consensus</x:v>
      </x:c>
      <x:c r="N16" s="17" t="str"/>
    </x:row>
    <x:row r="17" ht="58" customHeight="1">
      <x:c r="A17" s="16" t="str">
        <x:v>V4-015-S01</x:v>
      </x:c>
      <x:c r="B17" s="16" t="str">
        <x:v>V4-015</x:v>
      </x:c>
      <x:c r="C17" s="17" t="str">
        <x:v>¿Y qué pasará con el Congreso?</x:v>
      </x:c>
      <x:c r="D17" s="16" t="str">
        <x:v>La República</x:v>
      </x:c>
      <x:c r="E17" s="17" t="str">
        <x:v>Este Congreso ya no es Congreso, por Rosa María Palacios</x:v>
      </x:c>
      <x:c r="F17" s="17" t="str">
        <x:v>https://larepublica.pe/opinion/2026/10/25/este-congreso-ya-no-es-congreso-por-rosa-maria-palacios-hnews-2358400</x:v>
      </x:c>
      <x:c r="G17" s="16" t="str">
        <x:v>discusses</x:v>
      </x:c>
      <x:c r="H17" s="16" t="str">
        <x:v>evaluable</x:v>
      </x:c>
      <x:c r="I17" s="16" t="str">
        <x:v>discusses</x:v>
      </x:c>
      <x:c r="J17" s="16" t="str">
        <x:v>evaluable</x:v>
      </x:c>
      <x:c r="K17" s="16" t="str">
        <x:v>discusses</x:v>
      </x:c>
      <x:c r="L17" s="16" t="str">
        <x:v>True</x:v>
      </x:c>
      <x:c r="M17" s="16" t="str">
        <x:v>exact_consensus</x:v>
      </x:c>
      <x:c r="N17" s="17" t="str"/>
    </x:row>
    <x:row r="18" ht="58" customHeight="1">
      <x:c r="A18" s="16" t="str">
        <x:v>V4-016-S01</x:v>
      </x:c>
      <x:c r="B18" s="16" t="str">
        <x:v>V4-016</x:v>
      </x:c>
      <x:c r="C18" s="17" t="str">
        <x:v>Luna de hiel</x:v>
      </x:c>
      <x:c r="D18" s="16" t="str">
        <x:v>Gestión</x:v>
      </x:c>
      <x:c r="E18" s="17" t="str">
        <x:v>Keiko Fujimori: Ni luna de miel ni de hiel</x:v>
      </x:c>
      <x:c r="F18" s="17" t="str">
        <x:v>https://gestion.pe/opinion/keiko-fujimori-ni-luna-de-miel-ni-de-hiel-noticia/</x:v>
      </x:c>
      <x:c r="G18" s="16" t="str">
        <x:v>discusses</x:v>
      </x:c>
      <x:c r="H18" s="16" t="str">
        <x:v>evaluable</x:v>
      </x:c>
      <x:c r="I18" s="16" t="str">
        <x:v>discusses</x:v>
      </x:c>
      <x:c r="J18" s="16" t="str">
        <x:v>evaluable</x:v>
      </x:c>
      <x:c r="K18" s="16" t="str">
        <x:v>discusses</x:v>
      </x:c>
      <x:c r="L18" s="16" t="str">
        <x:v>True</x:v>
      </x:c>
      <x:c r="M18" s="16" t="str">
        <x:v>exact_consensus</x:v>
      </x:c>
      <x:c r="N18" s="17" t="str"/>
    </x:row>
    <x:row r="19" ht="58" customHeight="1">
      <x:c r="A19" s="16" t="str">
        <x:v>V4-018-S01</x:v>
      </x:c>
      <x:c r="B19" s="16" t="str">
        <x:v>V4-018</x:v>
      </x:c>
      <x:c r="C19" s="17" t="str">
        <x:v>Juntos por el Perú: ¿Qué debería pasar con el dinero que recaudó para financiar pedidos de nulidad tras suspender colecta?</x:v>
      </x:c>
      <x:c r="D19" s="16" t="str">
        <x:v>Infobae Perú</x:v>
      </x:c>
      <x:c r="E19" s="17" t="str">
        <x:v>“No llegamos a la meta, ya no yapeen”: Partido de Roberto Sánchez declina y deja de pedir fondos para pedidos de nulidad</x:v>
      </x:c>
      <x:c r="F19" s="17" t="str">
        <x:v>https://www.infobae.com/peru/2026/06/15/no-llegamos-a-la-meta-ya-no-yapeen-partido-de-roberto-sanchez-declina-y-deja-de-pedir-fondos-para-pedidos-de-nulidad/</x:v>
      </x:c>
      <x:c r="G19" s="16" t="str">
        <x:v>discusses</x:v>
      </x:c>
      <x:c r="H19" s="16" t="str">
        <x:v>evaluable</x:v>
      </x:c>
      <x:c r="I19" s="16" t="str">
        <x:v>discusses</x:v>
      </x:c>
      <x:c r="J19" s="16" t="str">
        <x:v>evaluable</x:v>
      </x:c>
      <x:c r="K19" s="16" t="str">
        <x:v>discusses</x:v>
      </x:c>
      <x:c r="L19" s="16" t="str">
        <x:v>True</x:v>
      </x:c>
      <x:c r="M19" s="16" t="str">
        <x:v>exact_consensus</x:v>
      </x:c>
      <x:c r="N19" s="17" t="str"/>
    </x:row>
    <x:row r="20" ht="58" customHeight="1">
      <x:c r="A20" s="16" t="str">
        <x:v>V4-018-S02</x:v>
      </x:c>
      <x:c r="B20" s="16" t="str">
        <x:v>V4-018</x:v>
      </x:c>
      <x:c r="C20" s="17" t="str">
        <x:v>Juntos por el Perú: ¿Qué debería pasar con el dinero que recaudó para financiar pedidos de nulidad tras suspender colecta?</x:v>
      </x:c>
      <x:c r="D20" s="16" t="str">
        <x:v>VOZ.PE</x:v>
      </x:c>
      <x:c r="E20" s="17" t="str">
        <x:v>Juntos por el Perú suspende recaudación de donaciones para nulidades tras no alcanzar meta de 3 millones de soles — VOZ.PE</x:v>
      </x:c>
      <x:c r="F20" s="17" t="str">
        <x:v>https://voz.pe/social/article/15574</x:v>
      </x:c>
      <x:c r="G20" s="16" t="str">
        <x:v>discusses</x:v>
      </x:c>
      <x:c r="H20" s="16" t="str">
        <x:v>evaluable</x:v>
      </x:c>
      <x:c r="I20" s="16" t="str">
        <x:v>supports</x:v>
      </x:c>
      <x:c r="J20" s="16" t="str">
        <x:v>evaluable</x:v>
      </x:c>
      <x:c r="K20" s="16" t="str">
        <x:v>discusses</x:v>
      </x:c>
      <x:c r="L20" s="16" t="str">
        <x:v>True</x:v>
      </x:c>
      <x:c r="M20" s="16" t="str">
        <x:v>adjudication</x:v>
      </x:c>
      <x:c r="N20" s="17" t="str">
        <x:v>La fuente confirma que se suspendió la colecta, pero no establece qué se hará con el dinero ya recaudado, elemento material del claim.</x:v>
      </x:c>
    </x:row>
    <x:row r="21" ht="58" customHeight="1">
      <x:c r="A21" s="16" t="str">
        <x:v>V4-018-S03</x:v>
      </x:c>
      <x:c r="B21" s="16" t="str">
        <x:v>V4-018</x:v>
      </x:c>
      <x:c r="C21" s="17" t="str">
        <x:v>Juntos por el Perú: ¿Qué debería pasar con el dinero que recaudó para financiar pedidos de nulidad tras suspender colecta?</x:v>
      </x:c>
      <x:c r="D21" s="16" t="str">
        <x:v>Diario Correo</x:v>
      </x:c>
      <x:c r="E21" s="17" t="str">
        <x:v>Juntos por el Perú dejará de recibir donaciones para costear nulidades de actas, anunció tesorera del partido</x:v>
      </x:c>
      <x:c r="F21" s="17" t="str">
        <x:v>https://diariocorreo.pe/politica/juntos-por-el-peru-dejara-de-recibir-donaciones-para-costear-nulidades-de-actas-anuncio-tesorera-del-partido-noticia/</x:v>
      </x:c>
      <x:c r="G21" s="16" t="str">
        <x:v>discusses</x:v>
      </x:c>
      <x:c r="H21" s="16" t="str">
        <x:v>evaluable</x:v>
      </x:c>
      <x:c r="I21" s="16" t="str">
        <x:v>discusses</x:v>
      </x:c>
      <x:c r="J21" s="16" t="str">
        <x:v>evaluable</x:v>
      </x:c>
      <x:c r="K21" s="16" t="str">
        <x:v>discusses</x:v>
      </x:c>
      <x:c r="L21" s="16" t="str">
        <x:v>True</x:v>
      </x:c>
      <x:c r="M21" s="16" t="str">
        <x:v>exact_consensus</x:v>
      </x:c>
      <x:c r="N21" s="17" t="str"/>
    </x:row>
    <x:row r="22" ht="58" customHeight="1">
      <x:c r="A22" s="16" t="str">
        <x:v>V4-019-S01</x:v>
      </x:c>
      <x:c r="B22" s="16" t="str">
        <x:v>V4-019</x:v>
      </x:c>
      <x:c r="C22" s="17" t="str">
        <x:v>Miguel Torres y Cecilia Chacón presidirán la Junta Preparatoria del Congreso bicameral: ¿Quiénes más la integran y cuáles serán sus funciones?</x:v>
      </x:c>
      <x:c r="D22" s="16" t="str">
        <x:v>El Peruano</x:v>
      </x:c>
      <x:c r="E22" s="17" t="str">
        <x:v>Congreso Bicameral: Mesa Directiva de la Junta Preparatoria inicia hoy sus funciones</x:v>
      </x:c>
      <x:c r="F22" s="17" t="str">
        <x:v>https://elperuano.pe/noticia/300332-congreso-bicameral-mesa-directiva-de-la-junta-preparatoria-inicia-hoy-sus-funciones</x:v>
      </x:c>
      <x:c r="G22" s="16" t="str">
        <x:v>supports</x:v>
      </x:c>
      <x:c r="H22" s="16" t="str">
        <x:v>evaluable</x:v>
      </x:c>
      <x:c r="I22" s="16" t="str">
        <x:v>discusses</x:v>
      </x:c>
      <x:c r="J22" s="16" t="str">
        <x:v>evaluable</x:v>
      </x:c>
      <x:c r="K22" s="16" t="str">
        <x:v>supports</x:v>
      </x:c>
      <x:c r="L22" s="16" t="str">
        <x:v>True</x:v>
      </x:c>
      <x:c r="M22" s="16" t="str">
        <x:v>adjudication</x:v>
      </x:c>
      <x:c r="N22" s="17" t="str">
        <x:v>El Peruano identifica a Miguel Torres como presidente y a Cecilia Chacón como vicepresidenta de la Junta Preparatoria, además de explicar sus funciones.</x:v>
      </x:c>
    </x:row>
    <x:row r="23" ht="58" customHeight="1">
      <x:c r="A23" s="16" t="str">
        <x:v>V4-019-S02</x:v>
      </x:c>
      <x:c r="B23" s="16" t="str">
        <x:v>V4-019</x:v>
      </x:c>
      <x:c r="C23" s="17" t="str">
        <x:v>Miguel Torres y Cecilia Chacón presidirán la Junta Preparatoria del Congreso bicameral: ¿Quiénes más la integran y cuáles serán sus funciones?</x:v>
      </x:c>
      <x:c r="D23" s="16" t="str">
        <x:v>Gestión</x:v>
      </x:c>
      <x:c r="E23" s="17" t="str">
        <x:v>Congreso bicameral: Miguel Torres y Cecilia Chacón liderarán Junta Preparatoria, ¿qué rol cumplirán?</x:v>
      </x:c>
      <x:c r="F23" s="17" t="str">
        <x:v>https://gestion.pe/peru/politica/congreso-bicameral-miguel-torres-y-cecilia-chacon-lideraran-junta-preparatoria-que-rol-cumpliran-noticia/</x:v>
      </x:c>
      <x:c r="G23" s="16" t="str">
        <x:v>discusses</x:v>
      </x:c>
      <x:c r="H23" s="16" t="str">
        <x:v>evaluable</x:v>
      </x:c>
      <x:c r="I23" s="16" t="str">
        <x:v>supports</x:v>
      </x:c>
      <x:c r="J23" s="16" t="str">
        <x:v>evaluable</x:v>
      </x:c>
      <x:c r="K23" s="16" t="str">
        <x:v>supports</x:v>
      </x:c>
      <x:c r="L23" s="16" t="str">
        <x:v>False</x:v>
      </x:c>
      <x:c r="M23" s="16" t="str">
        <x:v>exact_consensus</x:v>
      </x:c>
      <x:c r="N23" s="17" t="str"/>
    </x:row>
    <x:row r="24" ht="58" customHeight="1">
      <x:c r="A24" s="16" t="str">
        <x:v>V4-020-S01</x:v>
      </x:c>
      <x:c r="B24" s="16" t="str">
        <x:v>V4-020</x:v>
      </x:c>
      <x:c r="C24" s="17" t="str">
        <x:v>Keiko Fujimori: estas son las redes sociales oficiales en las cuales informará sobre sus actividades</x:v>
      </x:c>
      <x:c r="D24" s="16" t="str">
        <x:v>Infobae Perú</x:v>
      </x:c>
      <x:c r="E24" s="17" t="str">
        <x:v>Presidenta electa, Keiko Fujimori, habilita nuevas cuentas de redes oficiales</x:v>
      </x:c>
      <x:c r="F24" s="17" t="str">
        <x:v>https://www.infobae.com/peru/2026/07/03/presidenta-electa-keiko-fujimori-habilita-nuevas-cuentas-de-redes-oficiales/</x:v>
      </x:c>
      <x:c r="G24" s="16" t="str">
        <x:v>supports</x:v>
      </x:c>
      <x:c r="H24" s="16" t="str">
        <x:v>evaluable</x:v>
      </x:c>
      <x:c r="I24" s="16" t="str">
        <x:v>supports</x:v>
      </x:c>
      <x:c r="J24" s="16" t="str">
        <x:v>evaluable</x:v>
      </x:c>
      <x:c r="K24" s="16" t="str">
        <x:v>supports</x:v>
      </x:c>
      <x:c r="L24" s="16" t="str">
        <x:v>True</x:v>
      </x:c>
      <x:c r="M24" s="16" t="str">
        <x:v>exact_consensus</x:v>
      </x:c>
      <x:c r="N24" s="17" t="str"/>
    </x:row>
    <x:row r="25" ht="58" customHeight="1">
      <x:c r="A25" s="16" t="str">
        <x:v>V4-020-S02</x:v>
      </x:c>
      <x:c r="B25" s="16" t="str">
        <x:v>V4-020</x:v>
      </x:c>
      <x:c r="C25" s="17" t="str">
        <x:v>Keiko Fujimori: estas son las redes sociales oficiales en las cuales informará sobre sus actividades</x:v>
      </x:c>
      <x:c r="D25" s="16" t="str">
        <x:v>Caretas</x:v>
      </x:c>
      <x:c r="E25" s="17" t="str">
        <x:v>Keiko Fujimori lanza redes sociales oficiales de la Oficina de la Presidenta Electa tras proclamarse resultados por el JNE</x:v>
      </x:c>
      <x:c r="F25" s="17" t="str">
        <x:v>https://caretas.pe/politica/keiko-fujimori-lanza-redes-sociales-oficiales-de-la-oficina-de-la-presidenta-electa-tras-proclamarse-resultados-por-el-jne/</x:v>
      </x:c>
      <x:c r="G25" s="16" t="str">
        <x:v>supports</x:v>
      </x:c>
      <x:c r="H25" s="16" t="str">
        <x:v>evaluable</x:v>
      </x:c>
      <x:c r="I25" s="16" t="str">
        <x:v>supports</x:v>
      </x:c>
      <x:c r="J25" s="16" t="str">
        <x:v>evaluable</x:v>
      </x:c>
      <x:c r="K25" s="16" t="str">
        <x:v>supports</x:v>
      </x:c>
      <x:c r="L25" s="16" t="str">
        <x:v>True</x:v>
      </x:c>
      <x:c r="M25" s="16" t="str">
        <x:v>exact_consensus</x:v>
      </x:c>
      <x:c r="N25" s="1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4" hidden="0" customWidth="1"/>
    <x:col min="3" max="3" width="22" hidden="0" customWidth="1"/>
    <x:col min="4" max="4" width="38" hidden="0" customWidth="1"/>
    <x:col min="5" max="5" width="17" hidden="0" customWidth="1"/>
    <x:col min="6" max="6" width="22" hidden="0" customWidth="1"/>
    <x:col min="7" max="7" width="22" hidden="0" customWidth="1"/>
    <x:col min="8" max="8" width="20" hidden="0" customWidth="1"/>
    <x:col min="9" max="9" width="18" hidden="0" customWidth="1"/>
    <x:col min="10" max="10" width="42" hidden="0" customWidth="1"/>
    <x:col min="11" max="11" width="18" hidden="0" customWidth="1"/>
    <x:col min="12" max="12" width="54" hidden="0" customWidth="1"/>
  </x:cols>
  <x:sheetData>
    <x:row r="1" ht="42" customHeight="1">
      <x:c r="A1" s="13" t="str">
        <x:v>case_id</x:v>
      </x:c>
      <x:c r="B1" s="14" t="str">
        <x:v>claim</x:v>
      </x:c>
      <x:c r="C1" s="14" t="str">
        <x:v>original_source</x:v>
      </x:c>
      <x:c r="D1" s="14" t="str">
        <x:v>original_url</x:v>
      </x:c>
      <x:c r="E1" s="14" t="str">
        <x:v>returned_source_count</x:v>
      </x:c>
      <x:c r="F1" s="14" t="str">
        <x:v>annotator_a_coverage</x:v>
      </x:c>
      <x:c r="G1" s="14" t="str">
        <x:v>annotator_b_coverage</x:v>
      </x:c>
      <x:c r="H1" s="14" t="str">
        <x:v>final_coverage</x:v>
      </x:c>
      <x:c r="I1" s="14" t="str">
        <x:v>final_missing</x:v>
      </x:c>
      <x:c r="J1" s="14" t="str">
        <x:v>final_missing_url</x:v>
      </x:c>
      <x:c r="K1" s="14" t="str">
        <x:v>decision_source</x:v>
      </x:c>
      <x:c r="L1" s="15" t="str">
        <x:v>adjudication_rationale</x:v>
      </x:c>
    </x:row>
    <x:row r="2" ht="58" customHeight="1">
      <x:c r="A2" s="16" t="str">
        <x:v>V4-001</x:v>
      </x:c>
      <x:c r="B2" s="17" t="str">
        <x:v>Transparencia: “Rechazamos insinuaciones de fraude o manipulación de los resultados de la segunda vuelta”</x:v>
      </x:c>
      <x:c r="C2" s="16" t="str">
        <x:v>El Comercio</x:v>
      </x:c>
      <x:c r="D2" s="17" t="str">
        <x:v>https://elcomercio.pe/elecciones/elecciones-2026-transparencia-rechazamos-insinuaciones-de-fraude-o-manipulacion-de-los-resultados-de-la-segunda-vuelta-roberto-sanchez-juntos-por-el-peru-ultimas-noticia/</x:v>
      </x:c>
      <x:c r="E2" s="16" t="str">
        <x:v>2</x:v>
      </x:c>
      <x:c r="F2" s="16" t="str">
        <x:v>sufficient</x:v>
      </x:c>
      <x:c r="G2" s="16" t="str">
        <x:v>sufficient</x:v>
      </x:c>
      <x:c r="H2" s="16" t="str">
        <x:v>sufficient</x:v>
      </x:c>
      <x:c r="I2" s="16" t="str">
        <x:v>no</x:v>
      </x:c>
      <x:c r="J2" s="17" t="str"/>
      <x:c r="K2" s="16" t="str">
        <x:v>exact_consensus</x:v>
      </x:c>
      <x:c r="L2" s="17" t="str"/>
    </x:row>
    <x:row r="3" ht="58" customHeight="1">
      <x:c r="A3" s="16" t="str">
        <x:v>V4-002</x:v>
      </x:c>
      <x:c r="B3" s="17" t="str">
        <x:v>Carlos Bruce: Somos Perú presenta solicitud de inscripción de su lista para la alcaldía de Lima</x:v>
      </x:c>
      <x:c r="C3" s="16" t="str">
        <x:v>El Comercio</x:v>
      </x:c>
      <x:c r="D3" s="17" t="str">
        <x:v>https://elcomercio.pe/politica/elecciones/carlos-bruce-somos-peru-presenta-solicitud-de-inscripcion-de-su-lista-para-la-alcaldia-de-lima-metropolitana-noticia/</x:v>
      </x:c>
      <x:c r="E3" s="16" t="str">
        <x:v>2</x:v>
      </x:c>
      <x:c r="F3" s="16" t="str">
        <x:v>sufficient</x:v>
      </x:c>
      <x:c r="G3" s="16" t="str">
        <x:v>sufficient</x:v>
      </x:c>
      <x:c r="H3" s="16" t="str">
        <x:v>sufficient</x:v>
      </x:c>
      <x:c r="I3" s="16" t="str">
        <x:v>no</x:v>
      </x:c>
      <x:c r="J3" s="17" t="str"/>
      <x:c r="K3" s="16" t="str">
        <x:v>exact_consensus</x:v>
      </x:c>
      <x:c r="L3" s="17" t="str"/>
    </x:row>
    <x:row r="4" ht="58" customHeight="1">
      <x:c r="A4" s="16" t="str">
        <x:v>V4-003</x:v>
      </x:c>
      <x:c r="B4" s="17" t="str">
        <x:v>Keiko Fujimori: "La diferencia de votos ha crecido y esto nos genera muy buena expectativa"</x:v>
      </x:c>
      <x:c r="C4" s="16" t="str">
        <x:v>RPP Noticias</x:v>
      </x:c>
      <x:c r="D4" s="17" t="str">
        <x:v>https://rpp.pe/politica/elecciones/keiko-fujimori-la-diferencia-de-votos-ha-crecido-y-esto-nos-genera-muy-buena-expectativa-noticia-1693813</x:v>
      </x:c>
      <x:c r="E4" s="16" t="str">
        <x:v>0</x:v>
      </x:c>
      <x:c r="F4" s="16" t="str">
        <x:v>none</x:v>
      </x:c>
      <x:c r="G4" s="16" t="str">
        <x:v>none</x:v>
      </x:c>
      <x:c r="H4" s="16" t="str">
        <x:v>none</x:v>
      </x:c>
      <x:c r="I4" s="16" t="str">
        <x:v>yes</x:v>
      </x:c>
      <x:c r="J4" s="17" t="str">
        <x:v>https://rpp.pe/politica/elecciones/keiko-fujimori-la-diferencia-de-votos-ha-crecido-y-esto-nos-genera-muy-buena-expectativa-noticia-1693813</x:v>
      </x:c>
      <x:c r="K4" s="16" t="str">
        <x:v>exact_consensus</x:v>
      </x:c>
      <x:c r="L4" s="17" t="str"/>
    </x:row>
    <x:row r="5" ht="58" customHeight="1">
      <x:c r="A5" s="16" t="str">
        <x:v>V4-004</x:v>
      </x:c>
      <x:c r="B5" s="17" t="str">
        <x:v>Fiscalía de la Nación da por concluido nombramiento de Germán Juárez como coordinador contra lavado de activos</x:v>
      </x:c>
      <x:c r="C5" s="16" t="str">
        <x:v>El Comercio</x:v>
      </x:c>
      <x:c r="D5" s="17" t="str">
        <x:v>https://elcomercio.pe/politica/justicia/tomas-galvez-remueve-a-german-juarez-como-coordinador-de-las-fiscalias-contra-lavado-de-activos-ministerio-publico-fiscalia-de-la-nacion-ultimas-noticia/</x:v>
      </x:c>
      <x:c r="E5" s="16" t="str">
        <x:v>0</x:v>
      </x:c>
      <x:c r="F5" s="16" t="str">
        <x:v>none</x:v>
      </x:c>
      <x:c r="G5" s="16" t="str">
        <x:v>none</x:v>
      </x:c>
      <x:c r="H5" s="16" t="str">
        <x:v>none</x:v>
      </x:c>
      <x:c r="I5" s="16" t="str">
        <x:v>yes</x:v>
      </x:c>
      <x:c r="J5" s="17" t="str">
        <x:v>https://elcomercio.pe/politica/justicia/tomas-galvez-remueve-a-german-juarez-como-coordinador-de-las-fiscalias-contra-lavado-de-activos-ministerio-publico-fiscalia-de-la-nacion-ultimas-noticia/</x:v>
      </x:c>
      <x:c r="K5" s="16" t="str">
        <x:v>exact_consensus</x:v>
      </x:c>
      <x:c r="L5" s="17" t="str"/>
    </x:row>
    <x:row r="6" ht="58" customHeight="1">
      <x:c r="A6" s="16" t="str">
        <x:v>V4-005</x:v>
      </x:c>
      <x:c r="B6" s="17" t="str">
        <x:v>Keiko Fujimori: ¿Cuáles son los retos para los primeros 100 días de su gobierno?</x:v>
      </x:c>
      <x:c r="C6" s="16" t="str">
        <x:v>El Comercio</x:v>
      </x:c>
      <x:c r="D6" s="17" t="str">
        <x:v>https://elcomercio.pe/politica/gobierno/keiko-fujimori-cuales-son-los-retos-para-los-primeros-100-dias-de-su-gobierno-fuerza-popular-noticia/</x:v>
      </x:c>
      <x:c r="E6" s="16" t="str">
        <x:v>0</x:v>
      </x:c>
      <x:c r="F6" s="16" t="str">
        <x:v>no_evidence_found</x:v>
      </x:c>
      <x:c r="G6" s="16" t="str">
        <x:v>none</x:v>
      </x:c>
      <x:c r="H6" s="16" t="str">
        <x:v>none</x:v>
      </x:c>
      <x:c r="I6" s="16" t="str">
        <x:v>yes</x:v>
      </x:c>
      <x:c r="J6" s="17" t="str">
        <x:v>https://www.infobae.com/peru/2026/06/24/keiko-fujimori-y-su-victoria-inminente-cuales-son-los-principales-retos-durante-sus-primeros-100-dias-de-gobierno/</x:v>
      </x:c>
      <x:c r="K6" s="16" t="str">
        <x:v>adjudication</x:v>
      </x:c>
      <x:c r="L6" s="17" t="str">
        <x:v>El sistema no recuperó evidencia, pero la búsqueda independiente encontró una nota pertinente sobre los retos de los primeros 100 días.</x:v>
      </x:c>
    </x:row>
    <x:row r="7" ht="58" customHeight="1">
      <x:c r="A7" s="16" t="str">
        <x:v>V4-006</x:v>
      </x:c>
      <x:c r="B7" s="17" t="str">
        <x:v>Keiko Fujimori: “Aquello que viene funcionando bien lo vamos a fortalecer y continuar”</x:v>
      </x:c>
      <x:c r="C7" s="16" t="str">
        <x:v>El Comercio</x:v>
      </x:c>
      <x:c r="D7" s="17" t="str">
        <x:v>https://elcomercio.pe/elecciones/keiko-fujimori-aquello-que-viene-funcionando-bien-lo-vamos-a-fortalecer-y-continuar-fuerza-popular-segunda-vuelta-elecciones-2026-ultimas-noticia/</x:v>
      </x:c>
      <x:c r="E7" s="16" t="str">
        <x:v>1</x:v>
      </x:c>
      <x:c r="F7" s="16" t="str">
        <x:v>partial</x:v>
      </x:c>
      <x:c r="G7" s="16" t="str">
        <x:v>partial</x:v>
      </x:c>
      <x:c r="H7" s="16" t="str">
        <x:v>partial</x:v>
      </x:c>
      <x:c r="I7" s="16" t="str">
        <x:v>yes</x:v>
      </x:c>
      <x:c r="J7" s="17" t="str">
        <x:v>https://elcomercio.pe/elecciones/keiko-fujimori-aquello-que-viene-funcionando-bien-lo-vamos-a-fortalecer-y-continuar-fuerza-popular-segunda-vuelta-elecciones-2026-ultimas-noticia/</x:v>
      </x:c>
      <x:c r="K7" s="16" t="str">
        <x:v>exact_consensus</x:v>
      </x:c>
      <x:c r="L7" s="17" t="str"/>
    </x:row>
    <x:row r="8" ht="58" customHeight="1">
      <x:c r="A8" s="16" t="str">
        <x:v>V4-007</x:v>
      </x:c>
      <x:c r="B8" s="17" t="str">
        <x:v>Junta Nacional de Justicia evaluó los planes de trabajo de los dos postulantes al cargo de jefe de la ONPE</x:v>
      </x:c>
      <x:c r="C8" s="16" t="str">
        <x:v>El Comercio</x:v>
      </x:c>
      <x:c r="D8" s="17" t="str">
        <x:v>https://elcomercio.pe/politica/justicia/junta-nacional-de-justicia-evaluo-los-planes-de-trabajo-de-los-dos-postulantes-al-cargo-de-jefe-de-la-onpe-jnj-ultimas-noticia/</x:v>
      </x:c>
      <x:c r="E8" s="16" t="str">
        <x:v>2</x:v>
      </x:c>
      <x:c r="F8" s="16" t="str">
        <x:v>sufficient</x:v>
      </x:c>
      <x:c r="G8" s="16" t="str">
        <x:v>sufficient</x:v>
      </x:c>
      <x:c r="H8" s="16" t="str">
        <x:v>sufficient</x:v>
      </x:c>
      <x:c r="I8" s="16" t="str">
        <x:v>no</x:v>
      </x:c>
      <x:c r="J8" s="17" t="str"/>
      <x:c r="K8" s="16" t="str">
        <x:v>exact_consensus</x:v>
      </x:c>
      <x:c r="L8" s="17" t="str"/>
    </x:row>
    <x:row r="9" ht="58" customHeight="1">
      <x:c r="A9" s="16" t="str">
        <x:v>V4-008</x:v>
      </x:c>
      <x:c r="B9" s="17" t="str">
        <x:v>Aldo Bravo, virtual diputado, dice que el próximo Congreso debe priorizar los consensos y el diálogo: “El Perú necesita unidad”</x:v>
      </x:c>
      <x:c r="C9" s="16" t="str">
        <x:v>RPP Noticias</x:v>
      </x:c>
      <x:c r="D9" s="17" t="str">
        <x:v>https://rpp.pe/politica/congreso/aldo-bravo-virtual-diputado-dice-que-el-proximo-congreso-debe-priorizar-los-consensos-y-el-dialogo-el-peru-necesita-unidad-noticia-1693767</x:v>
      </x:c>
      <x:c r="E9" s="16" t="str">
        <x:v>0</x:v>
      </x:c>
      <x:c r="F9" s="16" t="str">
        <x:v>none</x:v>
      </x:c>
      <x:c r="G9" s="16" t="str">
        <x:v>none</x:v>
      </x:c>
      <x:c r="H9" s="16" t="str">
        <x:v>none</x:v>
      </x:c>
      <x:c r="I9" s="16" t="str">
        <x:v>yes</x:v>
      </x:c>
      <x:c r="J9" s="17" t="str">
        <x:v>https://rpp.pe/politica/congreso/aldo-bravo-virtual-diputado-dice-que-el-proximo-congreso-debe-priorizar-los-consensos-y-el-dialogo-el-peru-necesita-unidad-noticia-1693767</x:v>
      </x:c>
      <x:c r="K9" s="16" t="str">
        <x:v>exact_consensus</x:v>
      </x:c>
      <x:c r="L9" s="17" t="str"/>
    </x:row>
    <x:row r="10" ht="58" customHeight="1">
      <x:c r="A10" s="16" t="str">
        <x:v>V4-009</x:v>
      </x:c>
      <x:c r="B10" s="17" t="str">
        <x:v>Causas y azares</x:v>
      </x:c>
      <x:c r="C10" s="16" t="str">
        <x:v>El Comercio</x:v>
      </x:c>
      <x:c r="D10" s="17" t="str">
        <x:v>https://elcomercio.pe/opinion/columnistas/causas-y-azares-por-jose-carlos-requena-noticia/</x:v>
      </x:c>
      <x:c r="E10" s="16" t="str">
        <x:v>0</x:v>
      </x:c>
      <x:c r="F10" s="16" t="str">
        <x:v>no_evidence_found</x:v>
      </x:c>
      <x:c r="G10" s="16" t="str">
        <x:v>none</x:v>
      </x:c>
      <x:c r="H10" s="16" t="str">
        <x:v>none</x:v>
      </x:c>
      <x:c r="I10" s="16" t="str">
        <x:v>yes</x:v>
      </x:c>
      <x:c r="J10" s="17" t="str">
        <x:v>https://elcomercio.pe/opinion/columnistas/causas-y-azares-por-jose-carlos-requena-noticia/</x:v>
      </x:c>
      <x:c r="K10" s="16" t="str">
        <x:v>adjudication</x:v>
      </x:c>
      <x:c r="L10" s="17" t="str">
        <x:v>El sistema no devolvió evidencia y la búsqueda independiente localizó la columna original, directamente pertinente al claim.</x:v>
      </x:c>
    </x:row>
    <x:row r="11" ht="58" customHeight="1">
      <x:c r="A11" s="16" t="str">
        <x:v>V4-010</x:v>
      </x:c>
      <x:c r="B11" s="17" t="str">
        <x:v>Poder Judicial archivó la acusación fiscal por asociación ilícita contra Ollanta Humala, Nadine Heredia y otros en caso Gasoducto Sur Peruano</x:v>
      </x:c>
      <x:c r="C11" s="16" t="str">
        <x:v>RPP Noticias</x:v>
      </x:c>
      <x:c r="D11" s="17" t="str">
        <x:v>https://rpp.pe/politica/judiciales/caso-gasoducto-sur-peruano-pj-archivo-la-acusacion-fiscal-por-asociacion-ilicita-contra-ollanta-humala-nadine-heredia-y-otros-noticia-1695942</x:v>
      </x:c>
      <x:c r="E11" s="16" t="str">
        <x:v>2</x:v>
      </x:c>
      <x:c r="F11" s="16" t="str">
        <x:v>sufficient</x:v>
      </x:c>
      <x:c r="G11" s="16" t="str">
        <x:v>sufficient</x:v>
      </x:c>
      <x:c r="H11" s="16" t="str">
        <x:v>sufficient</x:v>
      </x:c>
      <x:c r="I11" s="16" t="str">
        <x:v>no</x:v>
      </x:c>
      <x:c r="J11" s="17" t="str"/>
      <x:c r="K11" s="16" t="str">
        <x:v>exact_consensus</x:v>
      </x:c>
      <x:c r="L11" s="17" t="str"/>
    </x:row>
    <x:row r="12" ht="58" customHeight="1">
      <x:c r="A12" s="16" t="str">
        <x:v>V4-011</x:v>
      </x:c>
      <x:c r="B12" s="17" t="str">
        <x:v>Ejecutivo autoriza viaje del canciller Carlos Pareja a Panamá para participar en Asamblea General de la OEA</x:v>
      </x:c>
      <x:c r="C12" s="16" t="str">
        <x:v>El Comercio</x:v>
      </x:c>
      <x:c r="D12" s="17" t="str">
        <x:v>https://elcomercio.pe/politica/gobierno/ejecutivo-autoriza-viaje-del-canciller-carlos-pareja-a-panama-para-participar-en-asamblea-general-de-la-oea-ultimas-noticia/</x:v>
      </x:c>
      <x:c r="E12" s="16" t="str">
        <x:v>2</x:v>
      </x:c>
      <x:c r="F12" s="16" t="str">
        <x:v>sufficient</x:v>
      </x:c>
      <x:c r="G12" s="16" t="str">
        <x:v>sufficient</x:v>
      </x:c>
      <x:c r="H12" s="16" t="str">
        <x:v>sufficient</x:v>
      </x:c>
      <x:c r="I12" s="16" t="str">
        <x:v>no</x:v>
      </x:c>
      <x:c r="J12" s="17" t="str"/>
      <x:c r="K12" s="16" t="str">
        <x:v>exact_consensus</x:v>
      </x:c>
      <x:c r="L12" s="17" t="str"/>
    </x:row>
    <x:row r="13" ht="58" customHeight="1">
      <x:c r="A13" s="16" t="str">
        <x:v>V4-012</x:v>
      </x:c>
      <x:c r="B13" s="17" t="str">
        <x:v>Roberto Sánchez en pronunciamiento con López Chau y Belmont: “Reconocemos que JNE haya proclamado oficialmente los resultados electorales”</x:v>
      </x:c>
      <x:c r="C13" s="16" t="str">
        <x:v>El Comercio</x:v>
      </x:c>
      <x:c r="D13" s="17" t="str">
        <x:v>https://elcomercio.pe/politica/elecciones/roberto-sanchez-en-pronunciamiento-con-lopez-chau-y-belmont-reconocemos-que-jne-haya-proclamado-oficialmente-los-resultados-electorales-noticia/</x:v>
      </x:c>
      <x:c r="E13" s="16" t="str">
        <x:v>2</x:v>
      </x:c>
      <x:c r="F13" s="16" t="str">
        <x:v>sufficient</x:v>
      </x:c>
      <x:c r="G13" s="16" t="str">
        <x:v>sufficient</x:v>
      </x:c>
      <x:c r="H13" s="16" t="str">
        <x:v>sufficient</x:v>
      </x:c>
      <x:c r="I13" s="16" t="str">
        <x:v>no</x:v>
      </x:c>
      <x:c r="J13" s="17" t="str"/>
      <x:c r="K13" s="16" t="str">
        <x:v>exact_consensus</x:v>
      </x:c>
      <x:c r="L13" s="17" t="str"/>
    </x:row>
    <x:row r="14" ht="58" customHeight="1">
      <x:c r="A14" s="16" t="str">
        <x:v>V4-013</x:v>
      </x:c>
      <x:c r="B14" s="17" t="str">
        <x:v>Elecciones regionales y municipales 2026: JNE admitirá todas las listas de candidatos hasta el 5 de agosto</x:v>
      </x:c>
      <x:c r="C14" s="16" t="str">
        <x:v>El Comercio</x:v>
      </x:c>
      <x:c r="D14" s="17" t="str">
        <x:v>https://elcomercio.pe/politica/elecciones/elecciones-regionales-y-municipales-2026-jne-admitira-todas-las-listas-de-candidatos-hasta-el-5-de-agosto-ultimas-noticia/</x:v>
      </x:c>
      <x:c r="E14" s="16" t="str">
        <x:v>1</x:v>
      </x:c>
      <x:c r="F14" s="16" t="str">
        <x:v>sufficient</x:v>
      </x:c>
      <x:c r="G14" s="16" t="str">
        <x:v>sufficient</x:v>
      </x:c>
      <x:c r="H14" s="16" t="str">
        <x:v>sufficient</x:v>
      </x:c>
      <x:c r="I14" s="16" t="str">
        <x:v>no</x:v>
      </x:c>
      <x:c r="J14" s="17" t="str"/>
      <x:c r="K14" s="16" t="str">
        <x:v>exact_consensus</x:v>
      </x:c>
      <x:c r="L14" s="17" t="str"/>
    </x:row>
    <x:row r="15" ht="58" customHeight="1">
      <x:c r="A15" s="16" t="str">
        <x:v>V4-014</x:v>
      </x:c>
      <x:c r="B15" s="17" t="str">
        <x:v>Partidos inician proceso de inscripción de candidatos a la alcaldía de Lima a contrarreloj</x:v>
      </x:c>
      <x:c r="C15" s="16" t="str">
        <x:v>El Comercio</x:v>
      </x:c>
      <x:c r="D15" s="17" t="str">
        <x:v>https://elcomercio.pe/politica/elecciones/partidos-inician-inscripcion-de-candidatos-a-la-alcaldia-de-lima-a-contrarreloj-noticia/</x:v>
      </x:c>
      <x:c r="E15" s="16" t="str">
        <x:v>1</x:v>
      </x:c>
      <x:c r="F15" s="16" t="str">
        <x:v>partial</x:v>
      </x:c>
      <x:c r="G15" s="16" t="str">
        <x:v>partial</x:v>
      </x:c>
      <x:c r="H15" s="16" t="str">
        <x:v>partial</x:v>
      </x:c>
      <x:c r="I15" s="16" t="str">
        <x:v>yes</x:v>
      </x:c>
      <x:c r="J15" s="17" t="str">
        <x:v>https://elcomercio.pe/politica/elecciones/partidos-inician-inscripcion-de-candidatos-a-la-alcaldia-de-lima-a-contrarreloj-noticia/</x:v>
      </x:c>
      <x:c r="K15" s="16" t="str">
        <x:v>exact_consensus</x:v>
      </x:c>
      <x:c r="L15" s="17" t="str"/>
    </x:row>
    <x:row r="16" ht="58" customHeight="1">
      <x:c r="A16" s="16" t="str">
        <x:v>V4-015</x:v>
      </x:c>
      <x:c r="B16" s="17" t="str">
        <x:v>¿Y qué pasará con el Congreso?</x:v>
      </x:c>
      <x:c r="C16" s="16" t="str">
        <x:v>El Comercio</x:v>
      </x:c>
      <x:c r="D16" s="17" t="str">
        <x:v>https://elcomercio.pe/opinion/columnistas/y-que-pasara-con-el-congreso-por-enrique-castillo-noticia/</x:v>
      </x:c>
      <x:c r="E16" s="16" t="str">
        <x:v>1</x:v>
      </x:c>
      <x:c r="F16" s="16" t="str">
        <x:v>sufficient</x:v>
      </x:c>
      <x:c r="G16" s="16" t="str">
        <x:v>partial</x:v>
      </x:c>
      <x:c r="H16" s="16" t="str">
        <x:v>partial</x:v>
      </x:c>
      <x:c r="I16" s="16" t="str">
        <x:v>yes</x:v>
      </x:c>
      <x:c r="J16" s="17" t="str">
        <x:v>https://elcomercio.pe/opinion/columnistas/y-que-pasara-con-el-congreso-por-enrique-castillo-noticia/</x:v>
      </x:c>
      <x:c r="K16" s="16" t="str">
        <x:v>adjudication</x:v>
      </x:c>
      <x:c r="L16" s="17" t="str">
        <x:v>La fuente recuperada discute el Congreso en términos generales; falta el análisis prospectivo directamente correspondiente al artículo original.</x:v>
      </x:c>
    </x:row>
    <x:row r="17" ht="58" customHeight="1">
      <x:c r="A17" s="16" t="str">
        <x:v>V4-016</x:v>
      </x:c>
      <x:c r="B17" s="17" t="str">
        <x:v>Luna de hiel</x:v>
      </x:c>
      <x:c r="C17" s="16" t="str">
        <x:v>El Comercio</x:v>
      </x:c>
      <x:c r="D17" s="17" t="str">
        <x:v>https://elcomercio.pe/opinion/columnistas/luna-de-hiel-por-hector-villalobos-keiko-fujimori-fujimorismo-gabinete-ministerial-noticia/</x:v>
      </x:c>
      <x:c r="E17" s="16" t="str">
        <x:v>1</x:v>
      </x:c>
      <x:c r="F17" s="16" t="str">
        <x:v>sufficient</x:v>
      </x:c>
      <x:c r="G17" s="16" t="str">
        <x:v>sufficient</x:v>
      </x:c>
      <x:c r="H17" s="16" t="str">
        <x:v>sufficient</x:v>
      </x:c>
      <x:c r="I17" s="16" t="str">
        <x:v>no</x:v>
      </x:c>
      <x:c r="J17" s="17" t="str"/>
      <x:c r="K17" s="16" t="str">
        <x:v>exact_consensus</x:v>
      </x:c>
      <x:c r="L17" s="17" t="str"/>
    </x:row>
    <x:row r="18" ht="58" customHeight="1">
      <x:c r="A18" s="16" t="str">
        <x:v>V4-017</x:v>
      </x:c>
      <x:c r="B18" s="17" t="str">
        <x:v>Keiko Fujimori a Roberto Sánchez: “Los votos de cualquier ciudad, región o del extranjero son válidos y deben ser respetados”</x:v>
      </x:c>
      <x:c r="C18" s="16" t="str">
        <x:v>El Comercio</x:v>
      </x:c>
      <x:c r="D18" s="17" t="str">
        <x:v>https://elcomercio.pe/politica/elecciones/keiko-fujimori-a-roberto-sanchez-los-votos-de-cualquier-ciudad-region-o-del-extranjero-son-validos-y-deben-ser-respetados-ultimas-noticia/</x:v>
      </x:c>
      <x:c r="E18" s="16" t="str">
        <x:v>0</x:v>
      </x:c>
      <x:c r="F18" s="16" t="str">
        <x:v>none</x:v>
      </x:c>
      <x:c r="G18" s="16" t="str">
        <x:v>none</x:v>
      </x:c>
      <x:c r="H18" s="16" t="str">
        <x:v>none</x:v>
      </x:c>
      <x:c r="I18" s="16" t="str">
        <x:v>yes</x:v>
      </x:c>
      <x:c r="J18" s="17" t="str">
        <x:v>https://elcomercio.pe/politica/elecciones/keiko-fujimori-a-roberto-sanchez-los-votos-de-cualquier-ciudad-region-o-del-extranjero-son-validos-y-deben-ser-respetados-ultimas-noticia/</x:v>
      </x:c>
      <x:c r="K18" s="16" t="str">
        <x:v>exact_consensus</x:v>
      </x:c>
      <x:c r="L18" s="17" t="str"/>
    </x:row>
    <x:row r="19" ht="58" customHeight="1">
      <x:c r="A19" s="16" t="str">
        <x:v>V4-018</x:v>
      </x:c>
      <x:c r="B19" s="17" t="str">
        <x:v>Juntos por el Perú: ¿Qué debería pasar con el dinero que recaudó para financiar pedidos de nulidad tras suspender colecta?</x:v>
      </x:c>
      <x:c r="C19" s="16" t="str">
        <x:v>El Comercio</x:v>
      </x:c>
      <x:c r="D19" s="17" t="str">
        <x:v>https://elcomercio.pe/politica/elecciones/juntos-por-el-peru-que-deberia-pasar-con-el-dinero-que-recaudo-para-financiar-pedidos-de-nulidad-tras-suspender-colecta-tlcnota-noticia/</x:v>
      </x:c>
      <x:c r="E19" s="16" t="str">
        <x:v>3</x:v>
      </x:c>
      <x:c r="F19" s="16" t="str">
        <x:v>partial</x:v>
      </x:c>
      <x:c r="G19" s="16" t="str">
        <x:v>sufficient</x:v>
      </x:c>
      <x:c r="H19" s="16" t="str">
        <x:v>partial</x:v>
      </x:c>
      <x:c r="I19" s="16" t="str">
        <x:v>yes</x:v>
      </x:c>
      <x:c r="J19" s="17" t="str">
        <x:v>https://elcomercio.pe/politica/elecciones/juntos-por-el-peru-que-deberia-pasar-con-el-dinero-que-recaudo-para-financiar-pedidos-de-nulidad-tras-suspender-colecta-tlcnota-noticia/</x:v>
      </x:c>
      <x:c r="K19" s="16" t="str">
        <x:v>adjudication</x:v>
      </x:c>
      <x:c r="L19" s="17" t="str">
        <x:v>Las fuentes recuperadas confirman la suspensión de la colecta, pero no responden el elemento central sobre el destino de los fondos ya recaudados.</x:v>
      </x:c>
    </x:row>
    <x:row r="20" ht="58" customHeight="1">
      <x:c r="A20" s="16" t="str">
        <x:v>V4-019</x:v>
      </x:c>
      <x:c r="B20" s="17" t="str">
        <x:v>Miguel Torres y Cecilia Chacón presidirán la Junta Preparatoria del Congreso bicameral: ¿Quiénes más la integran y cuáles serán sus funciones?</x:v>
      </x:c>
      <x:c r="C20" s="16" t="str">
        <x:v>El Comercio</x:v>
      </x:c>
      <x:c r="D20" s="17" t="str">
        <x:v>https://elcomercio.pe/politica/miguel-torres-y-cecilia-chacon-presidiran-la-junta-preparatoria-del-congreso-bicameral-quienes-mas-la-integran-y-cuales-seran-sus-funciones-noticia/</x:v>
      </x:c>
      <x:c r="E20" s="16" t="str">
        <x:v>2</x:v>
      </x:c>
      <x:c r="F20" s="16" t="str">
        <x:v>sufficient</x:v>
      </x:c>
      <x:c r="G20" s="16" t="str">
        <x:v>sufficient</x:v>
      </x:c>
      <x:c r="H20" s="16" t="str">
        <x:v>sufficient</x:v>
      </x:c>
      <x:c r="I20" s="16" t="str">
        <x:v>no</x:v>
      </x:c>
      <x:c r="J20" s="17" t="str"/>
      <x:c r="K20" s="16" t="str">
        <x:v>exact_consensus</x:v>
      </x:c>
      <x:c r="L20" s="17" t="str"/>
    </x:row>
    <x:row r="21" ht="58" customHeight="1">
      <x:c r="A21" s="16" t="str">
        <x:v>V4-020</x:v>
      </x:c>
      <x:c r="B21" s="17" t="str">
        <x:v>Keiko Fujimori: estas son las redes sociales oficiales en las cuales informará sobre sus actividades</x:v>
      </x:c>
      <x:c r="C21" s="16" t="str">
        <x:v>El Comercio</x:v>
      </x:c>
      <x:c r="D21" s="17" t="str">
        <x:v>https://elcomercio.pe/politica/elecciones/keiko-fujimori-estas-son-las-redes-sociales-oficiales-en-las-cuales-informara-sobre-sus-actividades-ultimas-noticia/</x:v>
      </x:c>
      <x:c r="E21" s="16" t="str">
        <x:v>2</x:v>
      </x:c>
      <x:c r="F21" s="16" t="str">
        <x:v>sufficient</x:v>
      </x:c>
      <x:c r="G21" s="16" t="str">
        <x:v>sufficient</x:v>
      </x:c>
      <x:c r="H21" s="16" t="str">
        <x:v>sufficient</x:v>
      </x:c>
      <x:c r="I21" s="16" t="str">
        <x:v>no</x:v>
      </x:c>
      <x:c r="J21" s="17" t="str"/>
      <x:c r="K21" s="16" t="str">
        <x:v>exact_consensus</x:v>
      </x:c>
      <x:c r="L21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7C0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31" hidden="0" customWidth="1"/>
    <x:col min="5" max="5" width="31" hidden="0" customWidth="1"/>
    <x:col min="6" max="6" width="31" hidden="0" customWidth="1"/>
    <x:col min="7" max="7" width="72" hidden="0" customWidth="1"/>
  </x:cols>
  <x:sheetData>
    <x:row r="1" ht="42" customHeight="1">
      <x:c r="A1" s="13" t="str">
        <x:v>record_type</x:v>
      </x:c>
      <x:c r="B1" s="14" t="str">
        <x:v>record_id</x:v>
      </x:c>
      <x:c r="C1" s="14" t="str">
        <x:v>case_id</x:v>
      </x:c>
      <x:c r="D1" s="14" t="str">
        <x:v>annotator_a</x:v>
      </x:c>
      <x:c r="E1" s="14" t="str">
        <x:v>annotator_b</x:v>
      </x:c>
      <x:c r="F1" s="14" t="str">
        <x:v>final_decision</x:v>
      </x:c>
      <x:c r="G1" s="15" t="str">
        <x:v>rationale</x:v>
      </x:c>
    </x:row>
    <x:row r="2" ht="58" customHeight="1">
      <x:c r="A2" s="16" t="str">
        <x:v>source</x:v>
      </x:c>
      <x:c r="B2" s="16" t="str">
        <x:v>V4-006-S01</x:v>
      </x:c>
      <x:c r="C2" s="16" t="str">
        <x:v>V4-006</x:v>
      </x:c>
      <x:c r="D2" s="17" t="str">
        <x:v>evaluable / discusses</x:v>
      </x:c>
      <x:c r="E2" s="17" t="str">
        <x:v>insufficient_context / </x:v>
      </x:c>
      <x:c r="F2" s="17" t="str">
        <x:v>evaluable / discusses</x:v>
      </x:c>
      <x:c r="G2" s="17" t="str">
        <x:v>La página del JNE acredita la proclamación de Keiko Fujimori, pero no contiene la cita sobre fortalecer y continuar lo que funciona.</x:v>
      </x:c>
    </x:row>
    <x:row r="3" ht="58" customHeight="1">
      <x:c r="A3" s="16" t="str">
        <x:v>source</x:v>
      </x:c>
      <x:c r="B3" s="16" t="str">
        <x:v>V4-007-S02</x:v>
      </x:c>
      <x:c r="C3" s="16" t="str">
        <x:v>V4-007</x:v>
      </x:c>
      <x:c r="D3" s="17" t="str">
        <x:v>evaluable / discusses</x:v>
      </x:c>
      <x:c r="E3" s="17" t="str">
        <x:v>evaluable / supports</x:v>
      </x:c>
      <x:c r="F3" s="17" t="str">
        <x:v>evaluable / supports</x:v>
      </x:c>
      <x:c r="G3" s="17" t="str">
        <x:v>La nota de Gestión indica que ambos postulantes sustentaron sus planes de trabajo ante el pleno de la JNJ y avanzaron a la entrevista final.</x:v>
      </x:c>
    </x:row>
    <x:row r="4" ht="58" customHeight="1">
      <x:c r="A4" s="16" t="str">
        <x:v>source</x:v>
      </x:c>
      <x:c r="B4" s="16" t="str">
        <x:v>V4-011-S02</x:v>
      </x:c>
      <x:c r="C4" s="16" t="str">
        <x:v>V4-011</x:v>
      </x:c>
      <x:c r="D4" s="17" t="str">
        <x:v>evaluable / supports</x:v>
      </x:c>
      <x:c r="E4" s="17" t="str">
        <x:v>insufficient_context / </x:v>
      </x:c>
      <x:c r="F4" s="17" t="str">
        <x:v>evaluable / supports</x:v>
      </x:c>
      <x:c r="G4" s="17" t="str">
        <x:v>La Resolución Suprema N.º 182-2026-PCM autoriza expresamente el viaje de Carlos Pareja a Panamá para la Asamblea General de la OEA.</x:v>
      </x:c>
    </x:row>
    <x:row r="5" ht="58" customHeight="1">
      <x:c r="A5" s="16" t="str">
        <x:v>source</x:v>
      </x:c>
      <x:c r="B5" s="16" t="str">
        <x:v>V4-018-S02</x:v>
      </x:c>
      <x:c r="C5" s="16" t="str">
        <x:v>V4-018</x:v>
      </x:c>
      <x:c r="D5" s="17" t="str">
        <x:v>evaluable / supports</x:v>
      </x:c>
      <x:c r="E5" s="17" t="str">
        <x:v>evaluable / discusses</x:v>
      </x:c>
      <x:c r="F5" s="17" t="str">
        <x:v>evaluable / discusses</x:v>
      </x:c>
      <x:c r="G5" s="17" t="str">
        <x:v>La fuente confirma que se suspendió la colecta, pero no establece qué se hará con el dinero ya recaudado, elemento material del claim.</x:v>
      </x:c>
    </x:row>
    <x:row r="6" ht="58" customHeight="1">
      <x:c r="A6" s="16" t="str">
        <x:v>source</x:v>
      </x:c>
      <x:c r="B6" s="16" t="str">
        <x:v>V4-019-S01</x:v>
      </x:c>
      <x:c r="C6" s="16" t="str">
        <x:v>V4-019</x:v>
      </x:c>
      <x:c r="D6" s="17" t="str">
        <x:v>evaluable / discusses</x:v>
      </x:c>
      <x:c r="E6" s="17" t="str">
        <x:v>evaluable / supports</x:v>
      </x:c>
      <x:c r="F6" s="17" t="str">
        <x:v>evaluable / supports</x:v>
      </x:c>
      <x:c r="G6" s="17" t="str">
        <x:v>El Peruano identifica a Miguel Torres como presidente y a Cecilia Chacón como vicepresidenta de la Junta Preparatoria, además de explicar sus funciones.</x:v>
      </x:c>
    </x:row>
    <x:row r="7" ht="58" customHeight="1">
      <x:c r="A7" s="16" t="str">
        <x:v>coverage</x:v>
      </x:c>
      <x:c r="B7" s="16" t="str">
        <x:v>V4-005</x:v>
      </x:c>
      <x:c r="C7" s="16" t="str">
        <x:v>V4-005</x:v>
      </x:c>
      <x:c r="D7" s="17" t="str">
        <x:v>no_evidence_found / missing=no</x:v>
      </x:c>
      <x:c r="E7" s="17" t="str">
        <x:v>none / missing=yes</x:v>
      </x:c>
      <x:c r="F7" s="17" t="str">
        <x:v>none / missing=yes</x:v>
      </x:c>
      <x:c r="G7" s="17" t="str">
        <x:v>El sistema no recuperó evidencia, pero la búsqueda independiente encontró una nota pertinente sobre los retos de los primeros 100 días.</x:v>
      </x:c>
    </x:row>
    <x:row r="8" ht="58" customHeight="1">
      <x:c r="A8" s="16" t="str">
        <x:v>coverage</x:v>
      </x:c>
      <x:c r="B8" s="16" t="str">
        <x:v>V4-009</x:v>
      </x:c>
      <x:c r="C8" s="16" t="str">
        <x:v>V4-009</x:v>
      </x:c>
      <x:c r="D8" s="17" t="str">
        <x:v>no_evidence_found / missing=no</x:v>
      </x:c>
      <x:c r="E8" s="17" t="str">
        <x:v>none / missing=yes</x:v>
      </x:c>
      <x:c r="F8" s="17" t="str">
        <x:v>none / missing=yes</x:v>
      </x:c>
      <x:c r="G8" s="17" t="str">
        <x:v>El sistema no devolvió evidencia y la búsqueda independiente localizó la columna original, directamente pertinente al claim.</x:v>
      </x:c>
    </x:row>
    <x:row r="9" ht="58" customHeight="1">
      <x:c r="A9" s="16" t="str">
        <x:v>coverage</x:v>
      </x:c>
      <x:c r="B9" s="16" t="str">
        <x:v>V4-015</x:v>
      </x:c>
      <x:c r="C9" s="16" t="str">
        <x:v>V4-015</x:v>
      </x:c>
      <x:c r="D9" s="17" t="str">
        <x:v>sufficient / missing=no</x:v>
      </x:c>
      <x:c r="E9" s="17" t="str">
        <x:v>partial / missing=yes</x:v>
      </x:c>
      <x:c r="F9" s="17" t="str">
        <x:v>partial / missing=yes</x:v>
      </x:c>
      <x:c r="G9" s="17" t="str">
        <x:v>La fuente recuperada discute el Congreso en términos generales; falta el análisis prospectivo directamente correspondiente al artículo original.</x:v>
      </x:c>
    </x:row>
    <x:row r="10" ht="58" customHeight="1">
      <x:c r="A10" s="16" t="str">
        <x:v>coverage</x:v>
      </x:c>
      <x:c r="B10" s="16" t="str">
        <x:v>V4-018</x:v>
      </x:c>
      <x:c r="C10" s="16" t="str">
        <x:v>V4-018</x:v>
      </x:c>
      <x:c r="D10" s="17" t="str">
        <x:v>partial / missing=yes</x:v>
      </x:c>
      <x:c r="E10" s="17" t="str">
        <x:v>sufficient / missing=no</x:v>
      </x:c>
      <x:c r="F10" s="17" t="str">
        <x:v>partial / missing=yes</x:v>
      </x:c>
      <x:c r="G10" s="17" t="str">
        <x:v>Las fuentes recuperadas confirman la suspensión de la colecta, pero no responden el elemento central sobre el destino de los fondos ya recaudados.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B5C2"/>
  </x:sheetPr>
  <x:sheetViews>
    <x:sheetView showGridLines="0" workbookViewId="0"/>
  </x:sheetViews>
  <x:sheetFormatPr defaultRowHeight="15"/>
  <x:cols>
    <x:col min="1" max="1" width="29" hidden="0" customWidth="1"/>
    <x:col min="2" max="2" width="104" hidden="0" customWidth="1"/>
  </x:cols>
  <x:sheetData>
    <x:row r="2">
      <x:c r="A2" s="18" t="str">
        <x:v>Método, criterios y límites</x:v>
      </x:c>
      <x:c r="B2" s="18"/>
      <x:c r="C2" s="18"/>
      <x:c r="D2" s="18"/>
      <x:c r="E2" s="18"/>
      <x:c r="F2" s="18"/>
    </x:row>
    <x:row r="4">
      <x:c r="A4" s="13" t="str">
        <x:v>Elemento</x:v>
      </x:c>
      <x:c r="B4" s="15" t="str">
        <x:v>Definición</x:v>
      </x:c>
    </x:row>
    <x:row r="5" ht="44" customHeight="1">
      <x:c r="A5" s="16" t="str">
        <x:v>Diseño</x:v>
      </x:c>
      <x:c r="B5" s="17" t="str">
        <x:v>Muestra fresca, congelada y ciega de 20 publicaciones web estratificadas. Los casos no se usaron para desarrollar las reglas v4.</x:v>
      </x:c>
    </x:row>
    <x:row r="6" ht="44" customHeight="1">
      <x:c r="A6" s="16" t="str">
        <x:v>Unidad</x:v>
      </x:c>
      <x:c r="B6" s="17" t="str">
        <x:v>24 pares afirmación–fuente y 20 publicaciones.</x:v>
      </x:c>
    </x:row>
    <x:row r="7" ht="44" customHeight="1">
      <x:c r="A7" s="16" t="str">
        <x:v>Adjudicación</x:v>
      </x:c>
      <x:c r="B7" s="17" t="str">
        <x:v>5 desacuerdos de fuente y 4 desacuerdos de cobertura se resolvieron sin usar la etiqueta del sistema como criterio.</x:v>
      </x:c>
    </x:row>
    <x:row r="8" ht="44" customHeight="1">
      <x:c r="A8" s="16" t="str">
        <x:v>Precisión de fuentes</x:v>
      </x:c>
      <x:c r="B8" s="17" t="str">
        <x:v>Proporción de fuentes evaluables cuya postura final no fue unrelated.</x:v>
      </x:c>
    </x:row>
    <x:row r="9" ht="44" customHeight="1">
      <x:c r="A9" s="16" t="str">
        <x:v>Exactitud de postura</x:v>
      </x:c>
      <x:c r="B9" s="17" t="str">
        <x:v>Coincidencia entre la etiqueta del sistema y la postura humana final.</x:v>
      </x:c>
    </x:row>
    <x:row r="10" ht="44" customHeight="1">
      <x:c r="A10" s="16" t="str">
        <x:v>Cobertura útil</x:v>
      </x:c>
      <x:c r="B10" s="17" t="str">
        <x:v>Casos sufficient o partial entre aquellos donde la revisión humana estableció que existía evidencia.</x:v>
      </x:c>
    </x:row>
    <x:row r="11" ht="44" customHeight="1">
      <x:c r="A11" s="16" t="str">
        <x:v>Vacío falso</x:v>
      </x:c>
      <x:c r="B11" s="17" t="str">
        <x:v>El sistema devolvió cero fuentes, pero la revisión humana estableció que sí existía evidencia pertinente.</x:v>
      </x:c>
    </x:row>
    <x:row r="12" ht="44" customHeight="1">
      <x:c r="A12" s="16" t="str">
        <x:v>Criterios</x:v>
      </x:c>
      <x:c r="B12" s="17" t="str">
        <x:v>Recuperación ≥16/20; precisión de fuentes ≥90%; cobertura útil ≥80%; exactitud de postura ≥75%; vacíos falsos ≤20%.</x:v>
      </x:c>
    </x:row>
    <x:row r="13" ht="44" customHeight="1">
      <x:c r="A13" s="16" t="str">
        <x:v>Registro temporal</x:v>
      </x:c>
      <x:c r="B13" s="17" t="str">
        <x:v>Los cinco umbrales se fijaron antes de ejecutar y anotar la muestra v4.</x:v>
      </x:c>
    </x:row>
    <x:row r="14" ht="44" customHeight="1">
      <x:c r="A14" s="16" t="str">
        <x:v>Acuerdo</x:v>
      </x:c>
      <x:c r="B14" s="17" t="str">
        <x:v>Las métricas de acuerdo se calcularon antes de adjudicar. Describen consistencia entre anotadores, no desempeño del sistema.</x:v>
      </x:c>
    </x:row>
    <x:row r="15" ht="44" customHeight="1">
      <x:c r="A15" s="16" t="str">
        <x:v>Población</x:v>
      </x:c>
      <x:c r="B15" s="17" t="str">
        <x:v>La muestra estratificada no estima la prevalencia natural del feed.</x:v>
      </x:c>
    </x:row>
    <x:row r="16" ht="44" customHeight="1">
      <x:c r="A16" s="16" t="str">
        <x:v>Incertidumbre</x:v>
      </x:c>
      <x:c r="B16" s="17" t="str">
        <x:v>Los denominadores son pequeños. Los intervalos de Wilson muestran que las estimaciones todavía tienen incertidumbre amplia.</x:v>
      </x:c>
    </x:row>
    <x:row r="17" ht="44" customHeight="1">
      <x:c r="A17" s="16" t="str">
        <x:v>Clases</x:v>
      </x:c>
      <x:c r="B17" s="17" t="str">
        <x:v>No hubo casos humanos finales refutes ni unrelated; por eso el macro-F1 fijo de cuatro clases no es una medida central en esta ronda.</x:v>
      </x:c>
    </x:row>
    <x:row r="18" ht="44" customHeight="1">
      <x:c r="A18" s="16" t="str">
        <x:v>X/social</x:v>
      </x:c>
      <x:c r="B18" s="17" t="str">
        <x:v>La instantánea no contiene publicaciones de X. Hilos, respuestas y quotes requieren una prueba social independiente.</x:v>
      </x:c>
    </x:row>
  </x:sheetData>
  <x:mergeCells>
    <x:mergeCell ref="A2:F2"/>
  </x:mergeCells>
  <x:pageMargins left="0.7" right="0.7" top="0.75" bottom="0.75" header="0.3" footer="0.3"/>
</x:worksheet>
</file>