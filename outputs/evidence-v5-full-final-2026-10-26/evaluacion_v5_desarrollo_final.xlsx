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d225fd836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75d5a9d266c4ba3"/>
    <x:sheet xmlns:r="http://schemas.openxmlformats.org/officeDocument/2006/relationships" name="Fuentes" sheetId="2" r:id="Rb00365a4e99542e6"/>
    <x:sheet xmlns:r="http://schemas.openxmlformats.org/officeDocument/2006/relationships" name="Cobertura" sheetId="3" r:id="R7c7be324a77e4693"/>
    <x:sheet xmlns:r="http://schemas.openxmlformats.org/officeDocument/2006/relationships" name="Trazabilidad" sheetId="4" r:id="R25c437431af94959"/>
    <x:sheet xmlns:r="http://schemas.openxmlformats.org/officeDocument/2006/relationships" name="Método" sheetId="5" r:id="R16bcc93180f3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5"/>
      <x:color rgb="FF172033"/>
      <x:name val="Arial"/>
    </x:font>
    <x:font>
      <x:b/>
      <x:sz val="10"/>
      <x:color rgb="FF172033"/>
      <x:name val="Arial"/>
    </x:font>
    <x:font>
      <x:b/>
      <x:sz val="10"/>
      <x:color rgb="FF176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EF3F7"/>
      </x:patternFill>
    </x:fill>
    <x:fill>
      <x:patternFill patternType="solid">
        <x:fgColor rgb="FFDCE6EF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ba578de51484a" /><Relationship Type="http://schemas.openxmlformats.org/officeDocument/2006/relationships/theme" Target="/xl/theme/theme1.xml" Id="R26160f930e094325" /><Relationship Type="http://schemas.openxmlformats.org/officeDocument/2006/relationships/sharedStrings" Target="/xl/sharedStrings.xml" Id="R76090d6f2ee2490b" /><Relationship Type="http://schemas.openxmlformats.org/officeDocument/2006/relationships/worksheet" Target="/xl/worksheets/sheet1.xml" Id="Rc75d5a9d266c4ba3" /><Relationship Type="http://schemas.openxmlformats.org/officeDocument/2006/relationships/worksheet" Target="/xl/worksheets/sheet2.xml" Id="Rb00365a4e99542e6" /><Relationship Type="http://schemas.openxmlformats.org/officeDocument/2006/relationships/worksheet" Target="/xl/worksheets/sheet3.xml" Id="R7c7be324a77e4693" /><Relationship Type="http://schemas.openxmlformats.org/officeDocument/2006/relationships/worksheet" Target="/xl/worksheets/sheet4.xml" Id="R25c437431af94959" /><Relationship Type="http://schemas.openxmlformats.org/officeDocument/2006/relationships/worksheet" Target="/xl/worksheets/sheet5.xml" Id="R16bcc93180f3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4" hidden="0" customWidth="1"/>
    <x:col min="5" max="5" width="16" hidden="0" customWidth="1"/>
    <x:col min="6" max="6" width="66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2">
      <x:c r="A2" s="18" t="str">
        <x:v>Regresión de desarrollo v5 — resultados humanos finales</x:v>
      </x:c>
      <x:c r="B2" s="18"/>
      <x:c r="C2" s="18"/>
      <x:c r="D2" s="18"/>
      <x:c r="E2" s="18"/>
      <x:c r="F2" s="18"/>
    </x:row>
    <x:row r="4">
      <x:c r="A4" s="13" t="str">
        <x:v>Criterio de referencia</x:v>
      </x:c>
      <x:c r="B4" s="14" t="str">
        <x:v>Umbral</x:v>
      </x:c>
      <x:c r="C4" s="14" t="str">
        <x:v>Resultado final</x:v>
      </x:c>
      <x:c r="D4" s="14" t="str">
        <x:v>Base</x:v>
      </x:c>
      <x:c r="E4" s="14" t="str">
        <x:v>Estado</x:v>
      </x:c>
      <x:c r="F4" s="15" t="str">
        <x:v>Interpretación</x:v>
      </x:c>
      <x:c r="H4" s="24" t="str">
        <x:v>Matriz de confusión: postura humana final × modelo</x:v>
      </x:c>
      <x:c r="I4" s="24"/>
      <x:c r="J4" s="24"/>
      <x:c r="K4" s="24"/>
      <x:c r="L4" s="24"/>
      <x:c r="M4" s="24"/>
    </x:row>
    <x:row r="5" ht="45" customHeight="1">
      <x:c r="A5" s="20" t="str">
        <x:v>Publicaciones con fuentes</x:v>
      </x:c>
      <x:c r="B5" s="21" t="n">
        <x:v>0.8</x:v>
      </x:c>
      <x:c r="C5" s="21" t="n">
        <x:f>COUNTIFS(Cobertura!$E$2:$E$21,"&gt;0")/20</x:f>
        <x:v>1</x:v>
      </x:c>
      <x:c r="D5" s="16" t="str">
        <x:v>20/20</x:v>
      </x:c>
      <x:c r="E5" s="16" t="str">
        <x:f>IF(C5&gt;=B5,"Cumple","No cumple")</x:f>
        <x:v>Cumple</x:v>
      </x:c>
      <x:c r="F5" s="17" t="str">
        <x:v>Todas las publicaciones devolvieron al menos contexto utilizable.</x:v>
      </x:c>
      <x:c r="H5" s="13" t="str">
        <x:v>Humano / modelo</x:v>
      </x:c>
      <x:c r="I5" s="14" t="str">
        <x:v>supports</x:v>
      </x:c>
      <x:c r="J5" s="14" t="str">
        <x:v>refutes</x:v>
      </x:c>
      <x:c r="K5" s="14" t="str">
        <x:v>discusses</x:v>
      </x:c>
      <x:c r="L5" s="14" t="str">
        <x:v>unrelated</x:v>
      </x:c>
      <x:c r="M5" s="15" t="str">
        <x:v>Total</x:v>
      </x:c>
    </x:row>
    <x:row r="6" ht="45" customHeight="1">
      <x:c r="A6" s="20" t="str">
        <x:v>Precisión de fuentes evaluables</x:v>
      </x:c>
      <x:c r="B6" s="21" t="n">
        <x:v>0.9</x:v>
      </x:c>
      <x:c r="C6" s="21" t="n">
        <x:f>COUNTIFS(Fuentes!$I$2:$I$27,"&lt;&gt;unrelated")/COUNTA(Fuentes!$I$2:$I$27)</x:f>
        <x:v>1</x:v>
      </x:c>
      <x:c r="D6" s="16" t="str">
        <x:v>26/26</x:v>
      </x:c>
      <x:c r="E6" s="16" t="str">
        <x:f>IF(C6&gt;=B6,"Cumple","No cumple")</x:f>
        <x:v>Cumple</x:v>
      </x:c>
      <x:c r="F6" s="17" t="str">
        <x:v>Fuentes independientes relevantes. IC95% Wilson: 87.1%–100.0%.</x:v>
      </x:c>
      <x:c r="H6" s="25" t="str">
        <x:v>supports</x:v>
      </x:c>
      <x:c r="I6" s="1" t="n">
        <x:f>COUNTIFS(Fuentes!$I$2:$I$27,$H6,Fuentes!$H$2:$H$27,I$5)</x:f>
        <x:v>16</x:v>
      </x:c>
      <x:c r="J6" s="1" t="n">
        <x:f>COUNTIFS(Fuentes!$I$2:$I$27,$H6,Fuentes!$H$2:$H$27,J$5)</x:f>
        <x:v>0</x:v>
      </x:c>
      <x:c r="K6" s="1" t="n">
        <x:f>COUNTIFS(Fuentes!$I$2:$I$27,$H6,Fuentes!$H$2:$H$27,K$5)</x:f>
        <x:v>2</x:v>
      </x:c>
      <x:c r="L6" s="1" t="n">
        <x:f>COUNTIFS(Fuentes!$I$2:$I$27,$H6,Fuentes!$H$2:$H$27,L$5)</x:f>
        <x:v>0</x:v>
      </x:c>
      <x:c r="M6" s="1" t="n">
        <x:f>SUM(I6:L6)</x:f>
        <x:v>18</x:v>
      </x:c>
    </x:row>
    <x:row r="7" ht="45" customHeight="1">
      <x:c r="A7" s="20" t="str">
        <x:v>Cobertura útil</x:v>
      </x:c>
      <x:c r="B7" s="21" t="n">
        <x:v>0.8</x:v>
      </x:c>
      <x:c r="C7" s="21" t="n">
        <x:f>(COUNTIFS(Cobertura!$H$2:$H$21,"sufficient")+COUNTIFS(Cobertura!$H$2:$H$21,"partial"))/COUNTA(Cobertura!$H$2:$H$21)</x:f>
        <x:v>1</x:v>
      </x:c>
      <x:c r="D7" s="16" t="str">
        <x:v>20/20</x:v>
      </x:c>
      <x:c r="E7" s="16" t="str">
        <x:f>IF(C7&gt;=B7,"Cumple","No cumple")</x:f>
        <x:v>Cumple</x:v>
      </x:c>
      <x:c r="F7" s="17" t="str">
        <x:v>Los veinte casos fueron adjudicados como suficientes; tres usan solo contexto primario.</x:v>
      </x:c>
      <x:c r="H7" s="25" t="str">
        <x:v>refutes</x:v>
      </x:c>
      <x:c r="I7" s="1" t="n">
        <x:f>COUNTIFS(Fuentes!$I$2:$I$27,$H7,Fuentes!$H$2:$H$27,I$5)</x:f>
        <x:v>0</x:v>
      </x:c>
      <x:c r="J7" s="1" t="n">
        <x:f>COUNTIFS(Fuentes!$I$2:$I$27,$H7,Fuentes!$H$2:$H$27,J$5)</x:f>
        <x:v>0</x:v>
      </x:c>
      <x:c r="K7" s="1" t="n">
        <x:f>COUNTIFS(Fuentes!$I$2:$I$27,$H7,Fuentes!$H$2:$H$27,K$5)</x:f>
        <x:v>0</x:v>
      </x:c>
      <x:c r="L7" s="1" t="n">
        <x:f>COUNTIFS(Fuentes!$I$2:$I$27,$H7,Fuentes!$H$2:$H$27,L$5)</x:f>
        <x:v>0</x:v>
      </x:c>
      <x:c r="M7" s="1" t="n">
        <x:f>SUM(I7:L7)</x:f>
        <x:v>0</x:v>
      </x:c>
    </x:row>
    <x:row r="8" ht="45" customHeight="1">
      <x:c r="A8" s="20" t="str">
        <x:v>Exactitud de postura</x:v>
      </x:c>
      <x:c r="B8" s="21" t="n">
        <x:v>0.75</x:v>
      </x:c>
      <x:c r="C8" s="21" t="n">
        <x:f>COUNTIFS(Fuentes!$J$2:$J$27,"True")/COUNTA(Fuentes!$J$2:$J$27)</x:f>
        <x:v>0.8076923076923077</x:v>
      </x:c>
      <x:c r="D8" s="16" t="str">
        <x:v>21/26</x:v>
      </x:c>
      <x:c r="E8" s="16" t="str">
        <x:f>IF(C8&gt;=B8,"Cumple","No cumple")</x:f>
        <x:v>Cumple</x:v>
      </x:c>
      <x:c r="F8" s="17" t="str">
        <x:v>La incertidumbre sigue siendo amplia. IC95% Wilson: 62.1%–91.5%.</x:v>
      </x:c>
      <x:c r="H8" s="25" t="str">
        <x:v>discusses</x:v>
      </x:c>
      <x:c r="I8" s="1" t="n">
        <x:f>COUNTIFS(Fuentes!$I$2:$I$27,$H8,Fuentes!$H$2:$H$27,I$5)</x:f>
        <x:v>3</x:v>
      </x:c>
      <x:c r="J8" s="1" t="n">
        <x:f>COUNTIFS(Fuentes!$I$2:$I$27,$H8,Fuentes!$H$2:$H$27,J$5)</x:f>
        <x:v>0</x:v>
      </x:c>
      <x:c r="K8" s="1" t="n">
        <x:f>COUNTIFS(Fuentes!$I$2:$I$27,$H8,Fuentes!$H$2:$H$27,K$5)</x:f>
        <x:v>5</x:v>
      </x:c>
      <x:c r="L8" s="1" t="n">
        <x:f>COUNTIFS(Fuentes!$I$2:$I$27,$H8,Fuentes!$H$2:$H$27,L$5)</x:f>
        <x:v>0</x:v>
      </x:c>
      <x:c r="M8" s="1" t="n">
        <x:f>SUM(I8:L8)</x:f>
        <x:v>8</x:v>
      </x:c>
    </x:row>
    <x:row r="9" ht="45" customHeight="1">
      <x:c r="A9" s="20" t="str">
        <x:v>Tasa de vacíos falsos</x:v>
      </x:c>
      <x:c r="B9" s="21" t="n">
        <x:v>0.2</x:v>
      </x:c>
      <x:c r="C9" s="21" t="n">
        <x:f>IF(COUNTIFS(Cobertura!$E$2:$E$21,0)=0,0,COUNTIFS(Cobertura!$E$2:$E$21,0,Cobertura!$H$2:$H$21,"none")/COUNTIFS(Cobertura!$E$2:$E$21,0))</x:f>
        <x:v>0</x:v>
      </x:c>
      <x:c r="D9" s="16" t="str">
        <x:v>0 casos vacíos</x:v>
      </x:c>
      <x:c r="E9" s="16" t="str">
        <x:f>IF(C9&lt;=B9,"Cumple","No cumple")</x:f>
        <x:v>Cumple</x:v>
      </x:c>
      <x:c r="F9" s="17" t="str">
        <x:v>No hubo conjuntos vacíos; se observaron cero vacíos falsos y la tasa tiene denominador cero.</x:v>
      </x:c>
      <x:c r="H9" s="25" t="str">
        <x:v>unrelated</x:v>
      </x:c>
      <x:c r="I9" s="1" t="n">
        <x:f>COUNTIFS(Fuentes!$I$2:$I$27,$H9,Fuentes!$H$2:$H$27,I$5)</x:f>
        <x:v>0</x:v>
      </x:c>
      <x:c r="J9" s="1" t="n">
        <x:f>COUNTIFS(Fuentes!$I$2:$I$27,$H9,Fuentes!$H$2:$H$27,J$5)</x:f>
        <x:v>0</x:v>
      </x:c>
      <x:c r="K9" s="1" t="n">
        <x:f>COUNTIFS(Fuentes!$I$2:$I$27,$H9,Fuentes!$H$2:$H$27,K$5)</x:f>
        <x:v>0</x:v>
      </x:c>
      <x:c r="L9" s="1" t="n">
        <x:f>COUNTIFS(Fuentes!$I$2:$I$27,$H9,Fuentes!$H$2:$H$27,L$5)</x:f>
        <x:v>0</x:v>
      </x:c>
      <x:c r="M9" s="1" t="n">
        <x:f>SUM(I9:L9)</x:f>
        <x:v>0</x:v>
      </x:c>
    </x:row>
    <x:row r="10">
      <x:c r="H10" s="25" t="str">
        <x:v>Total</x:v>
      </x:c>
      <x:c r="I10" s="1" t="n">
        <x:f>SUM(I6:I9)</x:f>
        <x:v>19</x:v>
      </x:c>
      <x:c r="J10" s="1" t="n">
        <x:f>SUM(J6:J9)</x:f>
        <x:v>0</x:v>
      </x:c>
      <x:c r="K10" s="1" t="n">
        <x:f>SUM(K6:K9)</x:f>
        <x:v>7</x:v>
      </x:c>
      <x:c r="L10" s="1" t="n">
        <x:f>SUM(L6:L9)</x:f>
        <x:v>0</x:v>
      </x:c>
      <x:c r="M10" s="1" t="n">
        <x:f>SUM(M6:M9)</x:f>
        <x:v>26</x:v>
      </x:c>
    </x:row>
    <x:row r="12">
      <x:c r="A12" s="24" t="str">
        <x:v>Conclusión</x:v>
      </x:c>
      <x:c r="B12" s="24"/>
      <x:c r="C12" s="24"/>
      <x:c r="D12" s="24"/>
      <x:c r="E12" s="24"/>
      <x:c r="F12" s="24"/>
      <x:c r="H12" s="24" t="str">
        <x:v>Acuerdo en la revisión focalizada</x:v>
      </x:c>
      <x:c r="I12" s="24"/>
      <x:c r="J12" s="24"/>
      <x:c r="K12" s="24"/>
      <x:c r="L12" s="24"/>
      <x:c r="M12" s="24"/>
    </x:row>
    <x:row r="13" ht="38" customHeight="1">
      <x:c r="A13" s="25" t="str">
        <x:v>Decisión global</x:v>
      </x:c>
      <x:c r="B13" s="27" t="str">
        <x:f>IF(COUNTIFS(E5:E9,"Cumple")=5,"CUMPLE UMBRALES DE REFERENCIA","NO CUMPLE UMBRALES DE REFERENCIA")</x:f>
        <x:v>CUMPLE UMBRALES DE REFERENCIA</x:v>
      </x:c>
      <x:c r="C13" s="26"/>
      <x:c r="D13" s="26"/>
      <x:c r="E13" s="26"/>
      <x:c r="F13" s="26"/>
      <x:c r="H13" s="13" t="str">
        <x:v>Medida</x:v>
      </x:c>
      <x:c r="I13" s="14" t="str">
        <x:v>Resultado</x:v>
      </x:c>
      <x:c r="J13" s="15" t="str">
        <x:v>Base</x:v>
      </x:c>
    </x:row>
    <x:row r="14" ht="38" customHeight="1">
      <x:c r="A14" s="25" t="str">
        <x:v>Criterios cumplidos</x:v>
      </x:c>
      <x:c r="B14" s="26" t="str">
        <x:v>5 de 5</x:v>
      </x:c>
      <x:c r="C14" s="26"/>
      <x:c r="D14" s="26"/>
      <x:c r="E14" s="26"/>
      <x:c r="F14" s="26"/>
      <x:c r="H14" s="25" t="str">
        <x:v>Evaluabilidad de fuentes</x:v>
      </x:c>
      <x:c r="I14" s="28" t="n">
        <x:v>1</x:v>
      </x:c>
      <x:c r="J14" s="1" t="str">
        <x:v>13 pares nuevos</x:v>
      </x:c>
    </x:row>
    <x:row r="15" ht="38" customHeight="1">
      <x:c r="A15" s="25" t="str">
        <x:v>Fortalezas</x:v>
      </x:c>
      <x:c r="B15" s="26" t="str">
        <x:v>Recuperación completa, precisión de fuentes y cobertura útil.</x:v>
      </x:c>
      <x:c r="C15" s="26"/>
      <x:c r="D15" s="26"/>
      <x:c r="E15" s="26"/>
      <x:c r="F15" s="26"/>
      <x:c r="H15" s="25" t="str">
        <x:v>Postura entre pares evaluables</x:v>
      </x:c>
      <x:c r="I15" s="28" t="n">
        <x:v>0.9230769230769231</x:v>
      </x:c>
      <x:c r="J15" s="1" t="str">
        <x:v>13 pares nuevos</x:v>
      </x:c>
    </x:row>
    <x:row r="16" ht="38" customHeight="1">
      <x:c r="A16" s="25" t="str">
        <x:v>Límite principal</x:v>
      </x:c>
      <x:c r="B16" s="26" t="str">
        <x:v>Es una regresión de desarrollo sobre la misma muestra, no una confirmación independiente.</x:v>
      </x:c>
      <x:c r="C16" s="26"/>
      <x:c r="D16" s="26"/>
      <x:c r="E16" s="26"/>
      <x:c r="F16" s="26"/>
      <x:c r="H16" s="25" t="str">
        <x:v>Cobertura por publicación</x:v>
      </x:c>
      <x:c r="I16" s="28" t="n">
        <x:v>0.6875</x:v>
      </x:c>
      <x:c r="J16" s="1" t="str">
        <x:v>16 casos cambiados</x:v>
      </x:c>
    </x:row>
    <x:row r="17" ht="38" customHeight="1">
      <x:c r="A17" s="25" t="str">
        <x:v>Siguiente prioridad</x:v>
      </x:c>
      <x:c r="B17" s="26" t="str">
        <x:v>Ejecutar una muestra confirmatoria fresca e incluir casos de X con quotes, respuestas e hilos.</x:v>
      </x:c>
      <x:c r="C17" s="26"/>
      <x:c r="D17" s="26"/>
      <x:c r="E17" s="26"/>
      <x:c r="F17" s="26"/>
      <x:c r="H17" s="25" t="str">
        <x:v>Existencia de evidencia faltante</x:v>
      </x:c>
      <x:c r="I17" s="28" t="n">
        <x:v>0.875</x:v>
      </x:c>
      <x:c r="J17" s="1" t="str">
        <x:v>16 casos cambiados</x:v>
      </x:c>
    </x:row>
  </x:sheetData>
  <x:mergeCells>
    <x:mergeCell ref="A2:F2"/>
    <x:mergeCell ref="A12:F12"/>
    <x:mergeCell ref="B13:F13"/>
    <x:mergeCell ref="B14:F14"/>
    <x:mergeCell ref="B15:F15"/>
    <x:mergeCell ref="B16:F16"/>
    <x:mergeCell ref="B17:F17"/>
    <x:mergeCell ref="H4:M4"/>
    <x:mergeCell ref="H12:M12"/>
  </x:mergeCells>
  <x:conditionalFormatting sqref="E5:E9">
    <x:cfRule type="containsText" dxfId="0" priority="1" operator="containsText" text="No cump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42" hidden="0" customWidth="1"/>
    <x:col min="4" max="4" width="22" hidden="0" customWidth="1"/>
    <x:col min="5" max="5" width="42" hidden="0" customWidth="1"/>
    <x:col min="6" max="6" width="38" hidden="0" customWidth="1"/>
    <x:col min="7" max="7" width="20" hidden="0" customWidth="1"/>
    <x:col min="8" max="8" width="16" hidden="0" customWidth="1"/>
    <x:col min="9" max="9" width="16" hidden="0" customWidth="1"/>
    <x:col min="10" max="10" width="18" hidden="0" customWidth="1"/>
    <x:col min="11" max="11" width="22" hidden="0" customWidth="1"/>
    <x:col min="12" max="12" width="22" hidden="0" customWidth="1"/>
    <x:col min="13" max="13" width="54" hidden="0" customWidth="1"/>
  </x:cols>
  <x:sheetData>
    <x:row r="1" ht="42" customHeight="1">
      <x:c r="A1" s="13" t="str">
        <x:v>evidence_id</x:v>
      </x:c>
      <x:c r="B1" s="14" t="str">
        <x:v>case_id</x:v>
      </x:c>
      <x:c r="C1" s="14" t="str">
        <x:v>claim</x:v>
      </x:c>
      <x:c r="D1" s="14" t="str">
        <x:v>source_name</x:v>
      </x:c>
      <x:c r="E1" s="14" t="str">
        <x:v>source_title</x:v>
      </x:c>
      <x:c r="F1" s="14" t="str">
        <x:v>source_url</x:v>
      </x:c>
      <x:c r="G1" s="14" t="str">
        <x:v>source_role</x:v>
      </x:c>
      <x:c r="H1" s="14" t="str">
        <x:v>model_stance</x:v>
      </x:c>
      <x:c r="I1" s="14" t="str">
        <x:v>final_stance</x:v>
      </x:c>
      <x:c r="J1" s="14" t="str">
        <x:v>model_matches_final</x:v>
      </x:c>
      <x:c r="K1" s="14" t="str">
        <x:v>review_provenance</x:v>
      </x:c>
      <x:c r="L1" s="14" t="str">
        <x:v>human_decision_source</x:v>
      </x:c>
      <x:c r="M1" s="15" t="str">
        <x:v>adjudication_rationale</x:v>
      </x:c>
    </x:row>
    <x:row r="2" ht="58" customHeight="1">
      <x:c r="A2" s="16" t="str">
        <x:v>V5FULL-V4-001-S01</x:v>
      </x:c>
      <x:c r="B2" s="16" t="str">
        <x:v>V4-001</x:v>
      </x:c>
      <x:c r="C2" s="17" t="str">
        <x:v>Transparencia: “Rechazamos insinuaciones de fraude o manipulación de los resultados de la segunda vuelta”</x:v>
      </x:c>
      <x:c r="D2" s="16" t="str">
        <x:v>Infobae Perú</x:v>
      </x:c>
      <x:c r="E2" s="17" t="str">
        <x:v>Transparencia responde a Roberto Sánchez y rechaza denuncias de fraude electoral: “Respeten las reglas del proceso”</x:v>
      </x:c>
      <x:c r="F2" s="17" t="str">
        <x:v>https://www.infobae.com/peru/2026/06/23/transparencia-responde-a-roberto-sanchez-y-rechaza-denuncias-de-fraude-electoral-respeten-las-reglas-del-proceso/</x:v>
      </x:c>
      <x:c r="G2" s="16" t="str">
        <x:v>independent_evidence</x:v>
      </x:c>
      <x:c r="H2" s="16" t="str">
        <x:v>discusses</x:v>
      </x:c>
      <x:c r="I2" s="16" t="str">
        <x:v>supports</x:v>
      </x:c>
      <x:c r="J2" s="16" t="str">
        <x:v>False</x:v>
      </x:c>
      <x:c r="K2" s="16" t="str">
        <x:v>v4_prior_blind_review</x:v>
      </x:c>
      <x:c r="L2" s="16" t="str">
        <x:v>exact_consensus</x:v>
      </x:c>
      <x:c r="M2" s="17" t="str"/>
    </x:row>
    <x:row r="3" ht="58" customHeight="1">
      <x:c r="A3" s="16" t="str">
        <x:v>V5FULL-V4-001-S02</x:v>
      </x:c>
      <x:c r="B3" s="16" t="str">
        <x:v>V4-001</x:v>
      </x:c>
      <x:c r="C3" s="17" t="str">
        <x:v>Transparencia: “Rechazamos insinuaciones de fraude o manipulación de los resultados de la segunda vuelta”</x:v>
      </x:c>
      <x:c r="D3" s="16" t="str">
        <x:v>Andina</x:v>
      </x:c>
      <x:c r="E3" s="17" t="str">
        <x:v>Elecciones 2026: Transparencia rechaza discursos que deslegitiman el proceso electoral</x:v>
      </x:c>
      <x:c r="F3" s="17" t="str">
        <x:v>https://andina.pe/agencia/noticia-elecciones-2026-transparencia-rechaza-discursos-deslegitiman-proceso-electoral-1080763.aspx</x:v>
      </x:c>
      <x:c r="G3" s="16" t="str">
        <x:v>independent_evidence</x:v>
      </x:c>
      <x:c r="H3" s="16" t="str">
        <x:v>discusses</x:v>
      </x:c>
      <x:c r="I3" s="16" t="str">
        <x:v>supports</x:v>
      </x:c>
      <x:c r="J3" s="16" t="str">
        <x:v>False</x:v>
      </x:c>
      <x:c r="K3" s="16" t="str">
        <x:v>v5_focused_review</x:v>
      </x:c>
      <x:c r="L3" s="16" t="str">
        <x:v>exact_consensus</x:v>
      </x:c>
      <x:c r="M3" s="17" t="str"/>
    </x:row>
    <x:row r="4" ht="58" customHeight="1">
      <x:c r="A4" s="16" t="str">
        <x:v>V5FULL-V4-002-S01</x:v>
      </x:c>
      <x:c r="B4" s="16" t="str">
        <x:v>V4-002</x:v>
      </x:c>
      <x:c r="C4" s="17" t="str">
        <x:v>Carlos Bruce: Somos Perú presenta solicitud de inscripción de su lista para la alcaldía de Lima</x:v>
      </x:c>
      <x:c r="D4" s="16" t="str">
        <x:v>Infobae Perú</x:v>
      </x:c>
      <x:c r="E4" s="17" t="str">
        <x:v>Elecciones 2026: Carlos Bruce es el primer candidato inscrito para la alcaldía de Lima</x:v>
      </x:c>
      <x:c r="F4" s="17" t="str">
        <x:v>https://www.infobae.com/peru/2026/06/18/elecciones-2026-carlos-bruce-es-el-primer-candidato-inscrito-para-la-alcaldia-de-lima/</x:v>
      </x:c>
      <x:c r="G4" s="16" t="str">
        <x:v>independent_evidence</x:v>
      </x:c>
      <x:c r="H4" s="16" t="str">
        <x:v>supports</x:v>
      </x:c>
      <x:c r="I4" s="16" t="str">
        <x:v>supports</x:v>
      </x:c>
      <x:c r="J4" s="16" t="str">
        <x:v>True</x:v>
      </x:c>
      <x:c r="K4" s="16" t="str">
        <x:v>v4_prior_blind_review</x:v>
      </x:c>
      <x:c r="L4" s="16" t="str">
        <x:v>exact_consensus</x:v>
      </x:c>
      <x:c r="M4" s="17" t="str"/>
    </x:row>
    <x:row r="5" ht="58" customHeight="1">
      <x:c r="A5" s="16" t="str">
        <x:v>V5FULL-V4-002-S02</x:v>
      </x:c>
      <x:c r="B5" s="16" t="str">
        <x:v>V4-002</x:v>
      </x:c>
      <x:c r="C5" s="17" t="str">
        <x:v>Carlos Bruce: Somos Perú presenta solicitud de inscripción de su lista para la alcaldía de Lima</x:v>
      </x:c>
      <x:c r="D5" s="16" t="str">
        <x:v>Gestión</x:v>
      </x:c>
      <x:c r="E5" s="17" t="str">
        <x:v>Somos Perú inscribe a Carlos Bruce como candidato a la alcaldía de Lima para 2026</x:v>
      </x:c>
      <x:c r="F5" s="17" t="str">
        <x:v>https://gestion.pe/peru/somos-peru-inscribe-a-carlos-bruce-como-candidato-a-la-alcaldia-de-lima-para-2026-noticia/</x:v>
      </x:c>
      <x:c r="G5" s="16" t="str">
        <x:v>independent_evidence</x:v>
      </x:c>
      <x:c r="H5" s="16" t="str">
        <x:v>supports</x:v>
      </x:c>
      <x:c r="I5" s="16" t="str">
        <x:v>supports</x:v>
      </x:c>
      <x:c r="J5" s="16" t="str">
        <x:v>True</x:v>
      </x:c>
      <x:c r="K5" s="16" t="str">
        <x:v>v4_prior_blind_review</x:v>
      </x:c>
      <x:c r="L5" s="16" t="str">
        <x:v>exact_consensus</x:v>
      </x:c>
      <x:c r="M5" s="17" t="str"/>
    </x:row>
    <x:row r="6" ht="58" customHeight="1">
      <x:c r="A6" s="16" t="str">
        <x:v>V5FULL-V4-004-S01</x:v>
      </x:c>
      <x:c r="B6" s="16" t="str">
        <x:v>V4-004</x:v>
      </x:c>
      <x:c r="C6" s="17" t="str">
        <x:v>Fiscalía de la Nación da por concluido nombramiento de Germán Juárez como coordinador contra lavado de activos</x:v>
      </x:c>
      <x:c r="D6" s="16" t="str">
        <x:v>La República</x:v>
      </x:c>
      <x:c r="E6" s="17" t="str">
        <x:v>Fiscal Germán Juárez es investigado por cohecho y lo retiran de la Coordinación de Lavado de Activos</x:v>
      </x:c>
      <x:c r="F6" s="17" t="str">
        <x:v>https://larepublica.pe/politica/2026/06/17/german-juarez-investigado-cohecho-coordinador-lavado-de-activos-lava-jato-hnews-964359</x:v>
      </x:c>
      <x:c r="G6" s="16" t="str">
        <x:v>independent_evidence</x:v>
      </x:c>
      <x:c r="H6" s="16" t="str">
        <x:v>supports</x:v>
      </x:c>
      <x:c r="I6" s="16" t="str">
        <x:v>supports</x:v>
      </x:c>
      <x:c r="J6" s="16" t="str">
        <x:v>True</x:v>
      </x:c>
      <x:c r="K6" s="16" t="str">
        <x:v>v5_focused_review</x:v>
      </x:c>
      <x:c r="L6" s="16" t="str">
        <x:v>exact_consensus</x:v>
      </x:c>
      <x:c r="M6" s="17" t="str"/>
    </x:row>
    <x:row r="7" ht="58" customHeight="1">
      <x:c r="A7" s="16" t="str">
        <x:v>V5FULL-V4-005-S01</x:v>
      </x:c>
      <x:c r="B7" s="16" t="str">
        <x:v>V4-005</x:v>
      </x:c>
      <x:c r="C7" s="17" t="str">
        <x:v>Keiko Fujimori: ¿Cuáles son los retos para los primeros 100 días de su gobierno?</x:v>
      </x:c>
      <x:c r="D7" s="16" t="str">
        <x:v>Infobae Perú</x:v>
      </x:c>
      <x:c r="E7" s="17" t="str">
        <x:v>Keiko Fujimori y su victoria inminente: ¿Cuáles son los principales retos durante sus primeros 100 días de gobierno?</x:v>
      </x:c>
      <x:c r="F7" s="17" t="str">
        <x:v>https://www.infobae.com/peru/2026/06/24/keiko-fujimori-y-su-victoria-inminente-cuales-son-los-principales-retos-durante-sus-primeros-100-dias-de-gobierno/</x:v>
      </x:c>
      <x:c r="G7" s="16" t="str">
        <x:v>independent_evidence</x:v>
      </x:c>
      <x:c r="H7" s="16" t="str">
        <x:v>supports</x:v>
      </x:c>
      <x:c r="I7" s="16" t="str">
        <x:v>supports</x:v>
      </x:c>
      <x:c r="J7" s="16" t="str">
        <x:v>True</x:v>
      </x:c>
      <x:c r="K7" s="16" t="str">
        <x:v>v5_focused_review</x:v>
      </x:c>
      <x:c r="L7" s="16" t="str">
        <x:v>exact_consensus</x:v>
      </x:c>
      <x:c r="M7" s="17" t="str"/>
    </x:row>
    <x:row r="8" ht="58" customHeight="1">
      <x:c r="A8" s="16" t="str">
        <x:v>V5FULL-V4-006-S01</x:v>
      </x:c>
      <x:c r="B8" s="16" t="str">
        <x:v>V4-006</x:v>
      </x:c>
      <x:c r="C8" s="17" t="str">
        <x:v>Keiko Fujimori: “Aquello que viene funcionando bien lo vamos a fortalecer y continuar”</x:v>
      </x:c>
      <x:c r="D8" s="16" t="str">
        <x:v>Infobae Perú</x:v>
      </x:c>
      <x:c r="E8" s="17" t="str">
        <x:v>Esta es el acta del JNE que proclama a Keiko Fujimori como presidenta de la República</x:v>
      </x:c>
      <x:c r="F8" s="17" t="str">
        <x:v>https://www.infobae.com/peru/2026/07/04/este-es-el-acta-del-jne-que-proclama-a-keiko-fujimori-como-presidenta-de-la-republica/</x:v>
      </x:c>
      <x:c r="G8" s="16" t="str">
        <x:v>independent_evidence</x:v>
      </x:c>
      <x:c r="H8" s="16" t="str">
        <x:v>discusses</x:v>
      </x:c>
      <x:c r="I8" s="16" t="str">
        <x:v>discusses</x:v>
      </x:c>
      <x:c r="J8" s="16" t="str">
        <x:v>True</x:v>
      </x:c>
      <x:c r="K8" s="16" t="str">
        <x:v>v5_focused_review</x:v>
      </x:c>
      <x:c r="L8" s="16" t="str">
        <x:v>exact_consensus</x:v>
      </x:c>
      <x:c r="M8" s="17" t="str"/>
    </x:row>
    <x:row r="9" ht="58" customHeight="1">
      <x:c r="A9" s="16" t="str">
        <x:v>V5FULL-V4-007-S01</x:v>
      </x:c>
      <x:c r="B9" s="16" t="str">
        <x:v>V4-007</x:v>
      </x:c>
      <x:c r="C9" s="17" t="str">
        <x:v>Junta Nacional de Justicia evaluó los planes de trabajo de los dos postulantes al cargo de jefe de la ONPE</x:v>
      </x:c>
      <x:c r="D9" s="16" t="str">
        <x:v>Gobierno del Perú</x:v>
      </x:c>
      <x:c r="E9" s="17" t="str">
        <x:v>JNJ evaluó los planes de trabajo de los postulantes al cargo de jefe de ONPE</x:v>
      </x:c>
      <x:c r="F9" s="17" t="str">
        <x:v>https://www.gob.pe/institucion/jnj/noticias/1407262-jnj-evaluo-los-planes-de-trabajo-de-los-postulantes-al-cargo-de-jefe-de-onpe</x:v>
      </x:c>
      <x:c r="G9" s="16" t="str">
        <x:v>independent_evidence</x:v>
      </x:c>
      <x:c r="H9" s="16" t="str">
        <x:v>supports</x:v>
      </x:c>
      <x:c r="I9" s="16" t="str">
        <x:v>supports</x:v>
      </x:c>
      <x:c r="J9" s="16" t="str">
        <x:v>True</x:v>
      </x:c>
      <x:c r="K9" s="16" t="str">
        <x:v>v4_prior_blind_review</x:v>
      </x:c>
      <x:c r="L9" s="16" t="str">
        <x:v>exact_consensus</x:v>
      </x:c>
      <x:c r="M9" s="17" t="str"/>
    </x:row>
    <x:row r="10" ht="58" customHeight="1">
      <x:c r="A10" s="16" t="str">
        <x:v>V5FULL-V4-010-S01</x:v>
      </x:c>
      <x:c r="B10" s="16" t="str">
        <x:v>V4-010</x:v>
      </x:c>
      <x:c r="C10" s="17" t="str">
        <x:v>Poder Judicial archivó la acusación fiscal por asociación ilícita contra Ollanta Humala, Nadine Heredia y otros en caso Gasoducto Sur Peruano</x:v>
      </x:c>
      <x:c r="D10" s="16" t="str">
        <x:v>Infobae Perú</x:v>
      </x:c>
      <x:c r="E10" s="17" t="str">
        <x:v>Poder Judicial archiva acusación contra Ollanta Humala y Nadine Heredia por caso Gasoducto Sur Peruano</x:v>
      </x:c>
      <x:c r="F10" s="17" t="str">
        <x:v>https://www.infobae.com/peru/2026/07/05/poder-judicial-archiva-acusacion-contra-ollanta-humala-y-nadine-heredia-por-caso-gasoducto-sur-peruano/</x:v>
      </x:c>
      <x:c r="G10" s="16" t="str">
        <x:v>independent_evidence</x:v>
      </x:c>
      <x:c r="H10" s="16" t="str">
        <x:v>supports</x:v>
      </x:c>
      <x:c r="I10" s="16" t="str">
        <x:v>supports</x:v>
      </x:c>
      <x:c r="J10" s="16" t="str">
        <x:v>True</x:v>
      </x:c>
      <x:c r="K10" s="16" t="str">
        <x:v>v4_prior_blind_review</x:v>
      </x:c>
      <x:c r="L10" s="16" t="str">
        <x:v>exact_consensus</x:v>
      </x:c>
      <x:c r="M10" s="17" t="str"/>
    </x:row>
    <x:row r="11" ht="58" customHeight="1">
      <x:c r="A11" s="16" t="str">
        <x:v>V5FULL-V4-010-S02</x:v>
      </x:c>
      <x:c r="B11" s="16" t="str">
        <x:v>V4-010</x:v>
      </x:c>
      <x:c r="C11" s="17" t="str">
        <x:v>Poder Judicial archivó la acusación fiscal por asociación ilícita contra Ollanta Humala, Nadine Heredia y otros en caso Gasoducto Sur Peruano</x:v>
      </x:c>
      <x:c r="D11" s="16" t="str">
        <x:v>Caretas</x:v>
      </x:c>
      <x:c r="E11" s="17" t="str">
        <x:v>Poder Judicial archiva un delito contra Ollanta Humala: esto cambia en su caso</x:v>
      </x:c>
      <x:c r="F11" s="17" t="str">
        <x:v>https://caretas.pe/politica/poder-judicial-archiva-un-delito-contra-ollanta-humala-y-nadine-heredia-esto-cambia-en-el-caso-gasoducto-sur-peruano/</x:v>
      </x:c>
      <x:c r="G11" s="16" t="str">
        <x:v>independent_evidence</x:v>
      </x:c>
      <x:c r="H11" s="16" t="str">
        <x:v>supports</x:v>
      </x:c>
      <x:c r="I11" s="16" t="str">
        <x:v>supports</x:v>
      </x:c>
      <x:c r="J11" s="16" t="str">
        <x:v>True</x:v>
      </x:c>
      <x:c r="K11" s="16" t="str">
        <x:v>v5_focused_review</x:v>
      </x:c>
      <x:c r="L11" s="16" t="str">
        <x:v>exact_consensus</x:v>
      </x:c>
      <x:c r="M11" s="17" t="str"/>
    </x:row>
    <x:row r="12" ht="58" customHeight="1">
      <x:c r="A12" s="16" t="str">
        <x:v>V5FULL-V4-011-S01</x:v>
      </x:c>
      <x:c r="B12" s="16" t="str">
        <x:v>V4-011</x:v>
      </x:c>
      <x:c r="C12" s="17" t="str">
        <x:v>Ejecutivo autoriza viaje del canciller Carlos Pareja a Panamá para participar en Asamblea General de la OEA</x:v>
      </x:c>
      <x:c r="D12" s="16" t="str">
        <x:v>El Peruano</x:v>
      </x:c>
      <x:c r="E12" s="17" t="str">
        <x:v>Autorizan viaje de canciller Carlos Pareja a Panamá para Asamblea General de la OEA</x:v>
      </x:c>
      <x:c r="F12" s="17" t="str">
        <x:v>https://elperuano.pe/noticia/298061-autorizan-viaje-de-canciller-carlos-pareja-a-panama-para-asamblea-general-de-la-oea</x:v>
      </x:c>
      <x:c r="G12" s="16" t="str">
        <x:v>independent_evidence</x:v>
      </x:c>
      <x:c r="H12" s="16" t="str">
        <x:v>supports</x:v>
      </x:c>
      <x:c r="I12" s="16" t="str">
        <x:v>supports</x:v>
      </x:c>
      <x:c r="J12" s="16" t="str">
        <x:v>True</x:v>
      </x:c>
      <x:c r="K12" s="16" t="str">
        <x:v>v4_prior_blind_review</x:v>
      </x:c>
      <x:c r="L12" s="16" t="str">
        <x:v>exact_consensus</x:v>
      </x:c>
      <x:c r="M12" s="17" t="str"/>
    </x:row>
    <x:row r="13" ht="58" customHeight="1">
      <x:c r="A13" s="16" t="str">
        <x:v>V5FULL-V4-012-S01</x:v>
      </x:c>
      <x:c r="B13" s="16" t="str">
        <x:v>V4-012</x:v>
      </x:c>
      <x:c r="C13" s="17" t="str">
        <x:v>Roberto Sánchez en pronunciamiento con López Chau y Belmont: “Reconocemos que JNE haya proclamado oficialmente los resultados electorales”</x:v>
      </x:c>
      <x:c r="D13" s="16" t="str">
        <x:v>El Peruano</x:v>
      </x:c>
      <x:c r="E13" s="17" t="str">
        <x:v>Roberto Sánchez reconoce resultados electorales proclamados por el JNE</x:v>
      </x:c>
      <x:c r="F13" s="17" t="str">
        <x:v>https://elperuano.pe/noticia/299589-roberto-sanchez-reconoce-resultados-electorales-proclamados-por-el-jne</x:v>
      </x:c>
      <x:c r="G13" s="16" t="str">
        <x:v>independent_evidence</x:v>
      </x:c>
      <x:c r="H13" s="16" t="str">
        <x:v>supports</x:v>
      </x:c>
      <x:c r="I13" s="16" t="str">
        <x:v>supports</x:v>
      </x:c>
      <x:c r="J13" s="16" t="str">
        <x:v>True</x:v>
      </x:c>
      <x:c r="K13" s="16" t="str">
        <x:v>v4_prior_blind_review</x:v>
      </x:c>
      <x:c r="L13" s="16" t="str">
        <x:v>exact_consensus</x:v>
      </x:c>
      <x:c r="M13" s="17" t="str"/>
    </x:row>
    <x:row r="14" ht="58" customHeight="1">
      <x:c r="A14" s="16" t="str">
        <x:v>V5FULL-V4-012-S02</x:v>
      </x:c>
      <x:c r="B14" s="16" t="str">
        <x:v>V4-012</x:v>
      </x:c>
      <x:c r="C14" s="17" t="str">
        <x:v>Roberto Sánchez en pronunciamiento con López Chau y Belmont: “Reconocemos que JNE haya proclamado oficialmente los resultados electorales”</x:v>
      </x:c>
      <x:c r="D14" s="16" t="str">
        <x:v>TV Perú</x:v>
      </x:c>
      <x:c r="E14" s="17" t="str">
        <x:v>Juntos por el Perú, Ahora Nación y Obras reconocen resultados del JNE y anuncian alianza parlamentaria</x:v>
      </x:c>
      <x:c r="F14" s="17" t="str">
        <x:v>https://www.tvperu.gob.pe/noticias/politica/juntos-por-el-peru-ahora-nacion-y-obras-reconocen-resultados-del-jne-y-anuncian-alianza-parlamentaria</x:v>
      </x:c>
      <x:c r="G14" s="16" t="str">
        <x:v>independent_evidence</x:v>
      </x:c>
      <x:c r="H14" s="16" t="str">
        <x:v>supports</x:v>
      </x:c>
      <x:c r="I14" s="16" t="str">
        <x:v>supports</x:v>
      </x:c>
      <x:c r="J14" s="16" t="str">
        <x:v>True</x:v>
      </x:c>
      <x:c r="K14" s="16" t="str">
        <x:v>v5_focused_review</x:v>
      </x:c>
      <x:c r="L14" s="16" t="str">
        <x:v>exact_consensus</x:v>
      </x:c>
      <x:c r="M14" s="17" t="str"/>
    </x:row>
    <x:row r="15" ht="58" customHeight="1">
      <x:c r="A15" s="16" t="str">
        <x:v>V5FULL-V4-012-S03</x:v>
      </x:c>
      <x:c r="B15" s="16" t="str">
        <x:v>V4-012</x:v>
      </x:c>
      <x:c r="C15" s="17" t="str">
        <x:v>Roberto Sánchez en pronunciamiento con López Chau y Belmont: “Reconocemos que JNE haya proclamado oficialmente los resultados electorales”</x:v>
      </x:c>
      <x:c r="D15" s="16" t="str">
        <x:v>Gestión</x:v>
      </x:c>
      <x:c r="E15" s="17" t="str">
        <x:v>Roberto Sánchez anuncia coalición legislativa con López Chau y Belmont</x:v>
      </x:c>
      <x:c r="F15" s="17" t="str">
        <x:v>https://gestion.pe/peru/roberto-sanchez-reconoce-resultados-y-anuncia-coalicion-legislativa-con-lopez-chau-y-belmont-noticia/</x:v>
      </x:c>
      <x:c r="G15" s="16" t="str">
        <x:v>independent_evidence</x:v>
      </x:c>
      <x:c r="H15" s="16" t="str">
        <x:v>supports</x:v>
      </x:c>
      <x:c r="I15" s="16" t="str">
        <x:v>supports</x:v>
      </x:c>
      <x:c r="J15" s="16" t="str">
        <x:v>True</x:v>
      </x:c>
      <x:c r="K15" s="16" t="str">
        <x:v>v5_focused_review</x:v>
      </x:c>
      <x:c r="L15" s="16" t="str">
        <x:v>exact_consensus</x:v>
      </x:c>
      <x:c r="M15" s="17" t="str"/>
    </x:row>
    <x:row r="16" ht="58" customHeight="1">
      <x:c r="A16" s="16" t="str">
        <x:v>V5FULL-V4-013-S01</x:v>
      </x:c>
      <x:c r="B16" s="16" t="str">
        <x:v>V4-013</x:v>
      </x:c>
      <x:c r="C16" s="17" t="str">
        <x:v>Elecciones regionales y municipales 2026: JNE admitirá todas las listas de candidatos hasta el 5 de agosto</x:v>
      </x:c>
      <x:c r="D16" s="16" t="str">
        <x:v>Andina</x:v>
      </x:c>
      <x:c r="E16" s="17" t="str">
        <x:v>ERM 2026: hoy miércoles 5 es la fecha límite para publicar listas de candidatos admitidas</x:v>
      </x:c>
      <x:c r="F16" s="17" t="str">
        <x:v>https://andina.pe/agencia/noticia-erm-2026-hoy-miercoles-5-es-fecha-limite-para-publicar-listas-candidatos-admitidas-1086310.aspx</x:v>
      </x:c>
      <x:c r="G16" s="16" t="str">
        <x:v>independent_evidence</x:v>
      </x:c>
      <x:c r="H16" s="16" t="str">
        <x:v>supports</x:v>
      </x:c>
      <x:c r="I16" s="16" t="str">
        <x:v>supports</x:v>
      </x:c>
      <x:c r="J16" s="16" t="str">
        <x:v>True</x:v>
      </x:c>
      <x:c r="K16" s="16" t="str">
        <x:v>v4_prior_blind_review</x:v>
      </x:c>
      <x:c r="L16" s="16" t="str">
        <x:v>exact_consensus</x:v>
      </x:c>
      <x:c r="M16" s="17" t="str"/>
    </x:row>
    <x:row r="17" ht="58" customHeight="1">
      <x:c r="A17" s="16" t="str">
        <x:v>V5FULL-V4-014-S01</x:v>
      </x:c>
      <x:c r="B17" s="16" t="str">
        <x:v>V4-014</x:v>
      </x:c>
      <x:c r="C17" s="17" t="str">
        <x:v>Partidos inician proceso de inscripción de candidatos a la alcaldía de Lima a contrarreloj</x:v>
      </x:c>
      <x:c r="D17" s="16" t="str">
        <x:v>Gestión</x:v>
      </x:c>
      <x:c r="E17" s="17" t="str">
        <x:v>Se presentaron 22 candidatos a la Alcaldía de Lima: sepa quiénes son</x:v>
      </x:c>
      <x:c r="F17" s="17" t="str">
        <x:v>https://gestion.pe/peru/politica/se-presentaron-22-candidatos-a-la-alcaldia-de-lima-sepa-quienes-son-noticia/</x:v>
      </x:c>
      <x:c r="G17" s="16" t="str">
        <x:v>independent_evidence</x:v>
      </x:c>
      <x:c r="H17" s="16" t="str">
        <x:v>discusses</x:v>
      </x:c>
      <x:c r="I17" s="16" t="str">
        <x:v>discusses</x:v>
      </x:c>
      <x:c r="J17" s="16" t="str">
        <x:v>True</x:v>
      </x:c>
      <x:c r="K17" s="16" t="str">
        <x:v>v5_focused_review</x:v>
      </x:c>
      <x:c r="L17" s="16" t="str">
        <x:v>exact_consensus</x:v>
      </x:c>
      <x:c r="M17" s="17" t="str"/>
    </x:row>
    <x:row r="18" ht="58" customHeight="1">
      <x:c r="A18" s="16" t="str">
        <x:v>V5FULL-V4-014-S02</x:v>
      </x:c>
      <x:c r="B18" s="16" t="str">
        <x:v>V4-014</x:v>
      </x:c>
      <x:c r="C18" s="17" t="str">
        <x:v>Partidos inician proceso de inscripción de candidatos a la alcaldía de Lima a contrarreloj</x:v>
      </x:c>
      <x:c r="D18" s="16" t="str">
        <x:v>Infobae Perú</x:v>
      </x:c>
      <x:c r="E18" s="17" t="str">
        <x:v>Elecciones 2026: Carlos Bruce es el primer candidato inscrito para la alcaldía de Lima</x:v>
      </x:c>
      <x:c r="F18" s="17" t="str">
        <x:v>https://www.infobae.com/peru/2026/06/18/elecciones-2026-carlos-bruce-es-el-primer-candidato-inscrito-para-la-alcaldia-de-lima/</x:v>
      </x:c>
      <x:c r="G18" s="16" t="str">
        <x:v>independent_evidence</x:v>
      </x:c>
      <x:c r="H18" s="16" t="str">
        <x:v>discusses</x:v>
      </x:c>
      <x:c r="I18" s="16" t="str">
        <x:v>discusses</x:v>
      </x:c>
      <x:c r="J18" s="16" t="str">
        <x:v>True</x:v>
      </x:c>
      <x:c r="K18" s="16" t="str">
        <x:v>v4_prior_blind_review</x:v>
      </x:c>
      <x:c r="L18" s="16" t="str">
        <x:v>exact_consensus</x:v>
      </x:c>
      <x:c r="M18" s="17" t="str"/>
    </x:row>
    <x:row r="19" ht="58" customHeight="1">
      <x:c r="A19" s="16" t="str">
        <x:v>V5FULL-V4-015-S01</x:v>
      </x:c>
      <x:c r="B19" s="16" t="str">
        <x:v>V4-015</x:v>
      </x:c>
      <x:c r="C19" s="17" t="str">
        <x:v>¿Y qué pasará con el Congreso?</x:v>
      </x:c>
      <x:c r="D19" s="16" t="str">
        <x:v>Willax</x:v>
      </x:c>
      <x:c r="E19" s="17" t="str">
        <x:v>Enrique Castillo advierte sobre votos viciados y reto del nuevo presidente: "Lo más probable es que no tenga mayoría en el Congreso"</x:v>
      </x:c>
      <x:c r="F19" s="17" t="str">
        <x:v>https://willax.pe/politica/enrique-castillo-votos-viciados-reto-nuevo-presidente-congreso-willax</x:v>
      </x:c>
      <x:c r="G19" s="16" t="str">
        <x:v>independent_evidence</x:v>
      </x:c>
      <x:c r="H19" s="16" t="str">
        <x:v>discusses</x:v>
      </x:c>
      <x:c r="I19" s="16" t="str">
        <x:v>discusses</x:v>
      </x:c>
      <x:c r="J19" s="16" t="str">
        <x:v>True</x:v>
      </x:c>
      <x:c r="K19" s="16" t="str">
        <x:v>v5_focused_review</x:v>
      </x:c>
      <x:c r="L19" s="16" t="str">
        <x:v>exact_consensus</x:v>
      </x:c>
      <x:c r="M19" s="17" t="str"/>
    </x:row>
    <x:row r="20" ht="58" customHeight="1">
      <x:c r="A20" s="16" t="str">
        <x:v>V5FULL-V4-016-S01</x:v>
      </x:c>
      <x:c r="B20" s="16" t="str">
        <x:v>V4-016</x:v>
      </x:c>
      <x:c r="C20" s="17" t="str">
        <x:v>Luna de hiel</x:v>
      </x:c>
      <x:c r="D20" s="16" t="str">
        <x:v>Gestión</x:v>
      </x:c>
      <x:c r="E20" s="17" t="str">
        <x:v>Keiko Fujimori: Ni luna de miel ni de hiel</x:v>
      </x:c>
      <x:c r="F20" s="17" t="str">
        <x:v>https://gestion.pe/opinion/keiko-fujimori-ni-luna-de-miel-ni-de-hiel-noticia/</x:v>
      </x:c>
      <x:c r="G20" s="16" t="str">
        <x:v>independent_evidence</x:v>
      </x:c>
      <x:c r="H20" s="16" t="str">
        <x:v>discusses</x:v>
      </x:c>
      <x:c r="I20" s="16" t="str">
        <x:v>discusses</x:v>
      </x:c>
      <x:c r="J20" s="16" t="str">
        <x:v>True</x:v>
      </x:c>
      <x:c r="K20" s="16" t="str">
        <x:v>v4_prior_blind_review</x:v>
      </x:c>
      <x:c r="L20" s="16" t="str">
        <x:v>exact_consensus</x:v>
      </x:c>
      <x:c r="M20" s="17" t="str"/>
    </x:row>
    <x:row r="21" ht="58" customHeight="1">
      <x:c r="A21" s="16" t="str">
        <x:v>V5FULL-V4-017-S01</x:v>
      </x:c>
      <x:c r="B21" s="16" t="str">
        <x:v>V4-017</x:v>
      </x:c>
      <x:c r="C21" s="17" t="str">
        <x:v>Keiko Fujimori a Roberto Sánchez: “Los votos de cualquier ciudad, región o del extranjero son válidos y deben ser respetados”</x:v>
      </x:c>
      <x:c r="D21" s="16" t="str">
        <x:v>Diario Correo</x:v>
      </x:c>
      <x:c r="E21" s="17" t="str">
        <x:v>Keiko Fujimori a Roberto Sánchez: Los votos de los peruanos son válidos y deben ser respetados</x:v>
      </x:c>
      <x:c r="F21" s="17" t="str">
        <x:v>https://diariocorreo.pe/politica/keiko-fujimori-a-roberto-sanchez-los-votos-de-los-peruanos-son-validos-y-deben-ser-respetados-noticia/</x:v>
      </x:c>
      <x:c r="G21" s="16" t="str">
        <x:v>independent_evidence</x:v>
      </x:c>
      <x:c r="H21" s="16" t="str">
        <x:v>supports</x:v>
      </x:c>
      <x:c r="I21" s="16" t="str">
        <x:v>supports</x:v>
      </x:c>
      <x:c r="J21" s="16" t="str">
        <x:v>True</x:v>
      </x:c>
      <x:c r="K21" s="16" t="str">
        <x:v>v5_focused_review</x:v>
      </x:c>
      <x:c r="L21" s="16" t="str">
        <x:v>exact_consensus</x:v>
      </x:c>
      <x:c r="M21" s="17" t="str"/>
    </x:row>
    <x:row r="22" ht="58" customHeight="1">
      <x:c r="A22" s="16" t="str">
        <x:v>V5FULL-V4-018-S01</x:v>
      </x:c>
      <x:c r="B22" s="16" t="str">
        <x:v>V4-018</x:v>
      </x:c>
      <x:c r="C22" s="17" t="str">
        <x:v>Juntos por el Perú: ¿Qué debería pasar con el dinero que recaudó para financiar pedidos de nulidad tras suspender colecta?</x:v>
      </x:c>
      <x:c r="D22" s="16" t="str">
        <x:v>VOZ.PE</x:v>
      </x:c>
      <x:c r="E22" s="17" t="str">
        <x:v>Juntos por el Perú suspende recaudación de donaciones para nulidades tras no alcanzar meta de 3 millones de soles — VOZ.PE</x:v>
      </x:c>
      <x:c r="F22" s="17" t="str">
        <x:v>https://voz.pe/social/article/15574</x:v>
      </x:c>
      <x:c r="G22" s="16" t="str">
        <x:v>independent_evidence</x:v>
      </x:c>
      <x:c r="H22" s="16" t="str">
        <x:v>supports</x:v>
      </x:c>
      <x:c r="I22" s="16" t="str">
        <x:v>discusses</x:v>
      </x:c>
      <x:c r="J22" s="16" t="str">
        <x:v>False</x:v>
      </x:c>
      <x:c r="K22" s="16" t="str">
        <x:v>v4_prior_blind_review</x:v>
      </x:c>
      <x:c r="L22" s="16" t="str">
        <x:v>adjudication</x:v>
      </x:c>
      <x:c r="M22" s="17" t="str">
        <x:v>La fuente confirma que se suspendió la colecta, pero no establece qué se hará con el dinero ya recaudado, elemento material del claim.</x:v>
      </x:c>
    </x:row>
    <x:row r="23" ht="58" customHeight="1">
      <x:c r="A23" s="16" t="str">
        <x:v>V5FULL-V4-018-S02</x:v>
      </x:c>
      <x:c r="B23" s="16" t="str">
        <x:v>V4-018</x:v>
      </x:c>
      <x:c r="C23" s="17" t="str">
        <x:v>Juntos por el Perú: ¿Qué debería pasar con el dinero que recaudó para financiar pedidos de nulidad tras suspender colecta?</x:v>
      </x:c>
      <x:c r="D23" s="16" t="str">
        <x:v>Exitosa</x:v>
      </x:c>
      <x:c r="E23" s="17" t="str">
        <x:v>Juntos por el Perú pide ya no abonar dinero para costear pedidos de nulidad de actas y no aclara si devolverá el dinero</x:v>
      </x:c>
      <x:c r="F23" s="17" t="str">
        <x:v>https://www.exitosanoticias.pe/elige-bien/juntos-peru-pide-ya-abonar-dinero-costear-pedidos-nulidad-actas-aclara-devolvera-dinero-n177828</x:v>
      </x:c>
      <x:c r="G23" s="16" t="str">
        <x:v>independent_evidence</x:v>
      </x:c>
      <x:c r="H23" s="16" t="str">
        <x:v>supports</x:v>
      </x:c>
      <x:c r="I23" s="16" t="str">
        <x:v>discusses</x:v>
      </x:c>
      <x:c r="J23" s="16" t="str">
        <x:v>False</x:v>
      </x:c>
      <x:c r="K23" s="16" t="str">
        <x:v>v5_focused_review</x:v>
      </x:c>
      <x:c r="L23" s="16" t="str">
        <x:v>exact_consensus</x:v>
      </x:c>
      <x:c r="M23" s="17" t="str"/>
    </x:row>
    <x:row r="24" ht="58" customHeight="1">
      <x:c r="A24" s="16" t="str">
        <x:v>V5FULL-V4-018-S03</x:v>
      </x:c>
      <x:c r="B24" s="16" t="str">
        <x:v>V4-018</x:v>
      </x:c>
      <x:c r="C24" s="17" t="str">
        <x:v>Juntos por el Perú: ¿Qué debería pasar con el dinero que recaudó para financiar pedidos de nulidad tras suspender colecta?</x:v>
      </x:c>
      <x:c r="D24" s="16" t="str">
        <x:v>Caretas</x:v>
      </x:c>
      <x:c r="E24" s="17" t="str">
        <x:v>Juntos por el Perú pone pausa a recaudación para impugnaciones, pero descarta devolver aportes de simpatizantes (VIDEO) - Caretas</x:v>
      </x:c>
      <x:c r="F24" s="17" t="str">
        <x:v>https://caretas.pe/politica/juntos-por-el-peru-pone-pausa-a-recaudacion-para-impugnaciones-pero-descarta-devolver-aportes-de-simpatizantes/</x:v>
      </x:c>
      <x:c r="G24" s="16" t="str">
        <x:v>independent_evidence</x:v>
      </x:c>
      <x:c r="H24" s="16" t="str">
        <x:v>supports</x:v>
      </x:c>
      <x:c r="I24" s="16" t="str">
        <x:v>discusses</x:v>
      </x:c>
      <x:c r="J24" s="16" t="str">
        <x:v>False</x:v>
      </x:c>
      <x:c r="K24" s="16" t="str">
        <x:v>v5_focused_review</x:v>
      </x:c>
      <x:c r="L24" s="16" t="str">
        <x:v>adjudication</x:v>
      </x:c>
      <x:c r="M24" s="17" t="str">
        <x:v>La fuente confirma la suspensión de la colecta, la negativa a devolver los aportes y las advertencias de especialistas sobre transparentar o devolver los fondos. Como el reclamo pregunta qué debería ocurrir y la nota presenta posiciones sin fijar una conclusión normativa definitiva, corresponde discusses.</x:v>
      </x:c>
    </x:row>
    <x:row r="25" ht="58" customHeight="1">
      <x:c r="A25" s="16" t="str">
        <x:v>V5FULL-V4-019-S01</x:v>
      </x:c>
      <x:c r="B25" s="16" t="str">
        <x:v>V4-019</x:v>
      </x:c>
      <x:c r="C25" s="17" t="str">
        <x:v>Miguel Torres y Cecilia Chacón presidirán la Junta Preparatoria del Congreso bicameral: ¿Quiénes más la integran y cuáles serán sus funciones?</x:v>
      </x:c>
      <x:c r="D25" s="16" t="str">
        <x:v>La República</x:v>
      </x:c>
      <x:c r="E25" s="17" t="str">
        <x:v>Miguel Torres y Cecilia Chacón lideran Junta Preparatoria para instalación del Congreso: ¿Cuáles son sus funciones?</x:v>
      </x:c>
      <x:c r="F25" s="17" t="str">
        <x:v>https://larepublica.pe/politica/2026/07/15/miguel-torres-y-cecilia-chacon-lideran-junta-preparatoria-para-instalacion-del-congreso-cuales-son-sus-funciones-hnews-746700</x:v>
      </x:c>
      <x:c r="G25" s="16" t="str">
        <x:v>independent_evidence</x:v>
      </x:c>
      <x:c r="H25" s="16" t="str">
        <x:v>supports</x:v>
      </x:c>
      <x:c r="I25" s="16" t="str">
        <x:v>supports</x:v>
      </x:c>
      <x:c r="J25" s="16" t="str">
        <x:v>True</x:v>
      </x:c>
      <x:c r="K25" s="16" t="str">
        <x:v>v5_focused_review</x:v>
      </x:c>
      <x:c r="L25" s="16" t="str">
        <x:v>exact_consensus</x:v>
      </x:c>
      <x:c r="M25" s="17" t="str"/>
    </x:row>
    <x:row r="26" ht="58" customHeight="1">
      <x:c r="A26" s="16" t="str">
        <x:v>V5FULL-V4-020-S01</x:v>
      </x:c>
      <x:c r="B26" s="16" t="str">
        <x:v>V4-020</x:v>
      </x:c>
      <x:c r="C26" s="17" t="str">
        <x:v>Keiko Fujimori: estas son las redes sociales oficiales en las cuales informará sobre sus actividades</x:v>
      </x:c>
      <x:c r="D26" s="16" t="str">
        <x:v>Infobae Perú</x:v>
      </x:c>
      <x:c r="E26" s="17" t="str">
        <x:v>Presidenta electa, Keiko Fujimori, habilita nuevas cuentas de redes oficiales</x:v>
      </x:c>
      <x:c r="F26" s="17" t="str">
        <x:v>https://www.infobae.com/peru/2026/07/03/presidenta-electa-keiko-fujimori-habilita-nuevas-cuentas-de-redes-oficiales/</x:v>
      </x:c>
      <x:c r="G26" s="16" t="str">
        <x:v>independent_evidence</x:v>
      </x:c>
      <x:c r="H26" s="16" t="str">
        <x:v>supports</x:v>
      </x:c>
      <x:c r="I26" s="16" t="str">
        <x:v>supports</x:v>
      </x:c>
      <x:c r="J26" s="16" t="str">
        <x:v>True</x:v>
      </x:c>
      <x:c r="K26" s="16" t="str">
        <x:v>v4_prior_blind_review</x:v>
      </x:c>
      <x:c r="L26" s="16" t="str">
        <x:v>exact_consensus</x:v>
      </x:c>
      <x:c r="M26" s="17" t="str"/>
    </x:row>
    <x:row r="27" ht="58" customHeight="1">
      <x:c r="A27" s="16" t="str">
        <x:v>V5FULL-V4-020-S02</x:v>
      </x:c>
      <x:c r="B27" s="16" t="str">
        <x:v>V4-020</x:v>
      </x:c>
      <x:c r="C27" s="17" t="str">
        <x:v>Keiko Fujimori: estas son las redes sociales oficiales en las cuales informará sobre sus actividades</x:v>
      </x:c>
      <x:c r="D27" s="16" t="str">
        <x:v>Caretas</x:v>
      </x:c>
      <x:c r="E27" s="17" t="str">
        <x:v>Keiko Fujimori lanza redes sociales oficiales de la Oficina de la Presidenta Electa tras proclamarse resultados por el JNE</x:v>
      </x:c>
      <x:c r="F27" s="17" t="str">
        <x:v>https://caretas.pe/politica/keiko-fujimori-lanza-redes-sociales-oficiales-de-la-oficina-de-la-presidenta-electa-tras-proclamarse-resultados-por-el-jne/</x:v>
      </x:c>
      <x:c r="G27" s="16" t="str">
        <x:v>independent_evidence</x:v>
      </x:c>
      <x:c r="H27" s="16" t="str">
        <x:v>supports</x:v>
      </x:c>
      <x:c r="I27" s="16" t="str">
        <x:v>supports</x:v>
      </x:c>
      <x:c r="J27" s="16" t="str">
        <x:v>True</x:v>
      </x:c>
      <x:c r="K27" s="16" t="str">
        <x:v>v4_prior_blind_review</x:v>
      </x:c>
      <x:c r="L27" s="16" t="str">
        <x:v>exact_consensus</x:v>
      </x:c>
      <x:c r="M27" s="1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44" hidden="0" customWidth="1"/>
    <x:col min="3" max="3" width="22" hidden="0" customWidth="1"/>
    <x:col min="4" max="4" width="38" hidden="0" customWidth="1"/>
    <x:col min="5" max="5" width="17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42" hidden="0" customWidth="1"/>
    <x:col min="11" max="11" width="22" hidden="0" customWidth="1"/>
    <x:col min="12" max="12" width="22" hidden="0" customWidth="1"/>
    <x:col min="13" max="13" width="54" hidden="0" customWidth="1"/>
  </x:cols>
  <x:sheetData>
    <x:row r="1" ht="42" customHeight="1">
      <x:c r="A1" s="13" t="str">
        <x:v>case_id</x:v>
      </x:c>
      <x:c r="B1" s="14" t="str">
        <x:v>claim</x:v>
      </x:c>
      <x:c r="C1" s="14" t="str">
        <x:v>original_source</x:v>
      </x:c>
      <x:c r="D1" s="14" t="str">
        <x:v>original_url</x:v>
      </x:c>
      <x:c r="E1" s="14" t="str">
        <x:v>returned_source_count</x:v>
      </x:c>
      <x:c r="F1" s="14" t="str">
        <x:v>independent_source_count</x:v>
      </x:c>
      <x:c r="G1" s="14" t="str">
        <x:v>primary_context_count</x:v>
      </x:c>
      <x:c r="H1" s="14" t="str">
        <x:v>final_coverage</x:v>
      </x:c>
      <x:c r="I1" s="14" t="str">
        <x:v>final_missing</x:v>
      </x:c>
      <x:c r="J1" s="14" t="str">
        <x:v>final_missing_url</x:v>
      </x:c>
      <x:c r="K1" s="14" t="str">
        <x:v>review_provenance</x:v>
      </x:c>
      <x:c r="L1" s="14" t="str">
        <x:v>human_decision_source</x:v>
      </x:c>
      <x:c r="M1" s="15" t="str">
        <x:v>adjudication_rationale</x:v>
      </x:c>
    </x:row>
    <x:row r="2" ht="58" customHeight="1">
      <x:c r="A2" s="16" t="str">
        <x:v>V4-001</x:v>
      </x:c>
      <x:c r="B2" s="17" t="str">
        <x:v>Transparencia: “Rechazamos insinuaciones de fraude o manipulación de los resultados de la segunda vuelta”</x:v>
      </x:c>
      <x:c r="C2" s="16" t="str"/>
      <x:c r="D2" s="17" t="str"/>
      <x:c r="E2" s="16" t="str">
        <x:v>2</x:v>
      </x:c>
      <x:c r="F2" s="16" t="str">
        <x:v>2</x:v>
      </x:c>
      <x:c r="G2" s="16" t="str">
        <x:v>0</x:v>
      </x:c>
      <x:c r="H2" s="16" t="str">
        <x:v>sufficient</x:v>
      </x:c>
      <x:c r="I2" s="16" t="str">
        <x:v>no</x:v>
      </x:c>
      <x:c r="J2" s="17" t="str"/>
      <x:c r="K2" s="16" t="str">
        <x:v>v5_focused_review</x:v>
      </x:c>
      <x:c r="L2" s="16" t="str">
        <x:v>exact_consensus</x:v>
      </x:c>
      <x:c r="M2" s="17" t="str"/>
    </x:row>
    <x:row r="3" ht="58" customHeight="1">
      <x:c r="A3" s="16" t="str">
        <x:v>V4-002</x:v>
      </x:c>
      <x:c r="B3" s="17" t="str">
        <x:v>Carlos Bruce: Somos Perú presenta solicitud de inscripción de su lista para la alcaldía de Lima</x:v>
      </x:c>
      <x:c r="C3" s="16" t="str"/>
      <x:c r="D3" s="17" t="str"/>
      <x:c r="E3" s="16" t="str">
        <x:v>2</x:v>
      </x:c>
      <x:c r="F3" s="16" t="str">
        <x:v>2</x:v>
      </x:c>
      <x:c r="G3" s="16" t="str">
        <x:v>0</x:v>
      </x:c>
      <x:c r="H3" s="16" t="str">
        <x:v>sufficient</x:v>
      </x:c>
      <x:c r="I3" s="16" t="str">
        <x:v>no</x:v>
      </x:c>
      <x:c r="J3" s="17" t="str"/>
      <x:c r="K3" s="16" t="str">
        <x:v>v4_prior_blind_review</x:v>
      </x:c>
      <x:c r="L3" s="16" t="str">
        <x:v>exact_consensus</x:v>
      </x:c>
      <x:c r="M3" s="17" t="str"/>
    </x:row>
    <x:row r="4" ht="58" customHeight="1">
      <x:c r="A4" s="16" t="str">
        <x:v>V4-003</x:v>
      </x:c>
      <x:c r="B4" s="17" t="str">
        <x:v>Keiko Fujimori: "La diferencia de votos ha crecido y esto nos genera muy buena expectativa"</x:v>
      </x:c>
      <x:c r="C4" s="16" t="str"/>
      <x:c r="D4" s="17" t="str"/>
      <x:c r="E4" s="16" t="str">
        <x:v>1</x:v>
      </x:c>
      <x:c r="F4" s="16" t="str">
        <x:v>0</x:v>
      </x:c>
      <x:c r="G4" s="16" t="str">
        <x:v>1</x:v>
      </x:c>
      <x:c r="H4" s="16" t="str">
        <x:v>sufficient</x:v>
      </x:c>
      <x:c r="I4" s="16" t="str">
        <x:v>no</x:v>
      </x:c>
      <x:c r="J4" s="17" t="str"/>
      <x:c r="K4" s="16" t="str">
        <x:v>v5_focused_review</x:v>
      </x:c>
      <x:c r="L4" s="16" t="str">
        <x:v>adjudication</x:v>
      </x:c>
      <x:c r="M4" s="17" t="str">
        <x:v>La tarea consiste en evaluar una declaración atribuida a Keiko Fujimori. La fuente primaria de RPP reproduce la cita completa y aporta el contexto del escrutinio; según la guía, no se requiere corroboración externa adicional para considerar suficiente este caso.</x:v>
      </x:c>
    </x:row>
    <x:row r="5" ht="58" customHeight="1">
      <x:c r="A5" s="16" t="str">
        <x:v>V4-004</x:v>
      </x:c>
      <x:c r="B5" s="17" t="str">
        <x:v>Fiscalía de la Nación da por concluido nombramiento de Germán Juárez como coordinador contra lavado de activos</x:v>
      </x:c>
      <x:c r="C5" s="16" t="str"/>
      <x:c r="D5" s="17" t="str"/>
      <x:c r="E5" s="16" t="str">
        <x:v>1</x:v>
      </x:c>
      <x:c r="F5" s="16" t="str">
        <x:v>1</x:v>
      </x:c>
      <x:c r="G5" s="16" t="str">
        <x:v>0</x:v>
      </x:c>
      <x:c r="H5" s="16" t="str">
        <x:v>sufficient</x:v>
      </x:c>
      <x:c r="I5" s="16" t="str">
        <x:v>no</x:v>
      </x:c>
      <x:c r="J5" s="17" t="str"/>
      <x:c r="K5" s="16" t="str">
        <x:v>v5_focused_review</x:v>
      </x:c>
      <x:c r="L5" s="16" t="str">
        <x:v>exact_consensus</x:v>
      </x:c>
      <x:c r="M5" s="17" t="str"/>
    </x:row>
    <x:row r="6" ht="58" customHeight="1">
      <x:c r="A6" s="16" t="str">
        <x:v>V4-005</x:v>
      </x:c>
      <x:c r="B6" s="17" t="str">
        <x:v>Keiko Fujimori: ¿Cuáles son los retos para los primeros 100 días de su gobierno?</x:v>
      </x:c>
      <x:c r="C6" s="16" t="str"/>
      <x:c r="D6" s="17" t="str"/>
      <x:c r="E6" s="16" t="str">
        <x:v>1</x:v>
      </x:c>
      <x:c r="F6" s="16" t="str">
        <x:v>1</x:v>
      </x:c>
      <x:c r="G6" s="16" t="str">
        <x:v>0</x:v>
      </x:c>
      <x:c r="H6" s="16" t="str">
        <x:v>sufficient</x:v>
      </x:c>
      <x:c r="I6" s="16" t="str">
        <x:v>no</x:v>
      </x:c>
      <x:c r="J6" s="17" t="str"/>
      <x:c r="K6" s="16" t="str">
        <x:v>v5_focused_review</x:v>
      </x:c>
      <x:c r="L6" s="16" t="str">
        <x:v>adjudication</x:v>
      </x:c>
      <x:c r="M6" s="17" t="str">
        <x:v>La URL recuperada corresponde a la publicación original y desarrolla directamente los retos de los primeros 100 días con perspectivas sobre seguridad, pesca, minería, gestión regional y prevención ante El Niño. La evidencia cubre materialmente el reclamo.</x:v>
      </x:c>
    </x:row>
    <x:row r="7" ht="58" customHeight="1">
      <x:c r="A7" s="16" t="str">
        <x:v>V4-006</x:v>
      </x:c>
      <x:c r="B7" s="17" t="str">
        <x:v>Keiko Fujimori: “Aquello que viene funcionando bien lo vamos a fortalecer y continuar”</x:v>
      </x:c>
      <x:c r="C7" s="16" t="str"/>
      <x:c r="D7" s="17" t="str"/>
      <x:c r="E7" s="16" t="str">
        <x:v>1</x:v>
      </x:c>
      <x:c r="F7" s="16" t="str">
        <x:v>1</x:v>
      </x:c>
      <x:c r="G7" s="16" t="str">
        <x:v>0</x:v>
      </x:c>
      <x:c r="H7" s="16" t="str">
        <x:v>sufficient</x:v>
      </x:c>
      <x:c r="I7" s="16" t="str">
        <x:v>no</x:v>
      </x:c>
      <x:c r="J7" s="17" t="str"/>
      <x:c r="K7" s="16" t="str">
        <x:v>v5_focused_review</x:v>
      </x:c>
      <x:c r="L7" s="16" t="str">
        <x:v>adjudication</x:v>
      </x:c>
      <x:c r="M7" s="17" t="str">
        <x:v>La publicación original reproduce de forma textual la declaración sobre fortalecer y continuar lo que funciona bien y ubica el mensaje después de la proclamación. La fuente adicional confirma ese contexto; no falta evidencia material para evaluar el reclamo.</x:v>
      </x:c>
    </x:row>
    <x:row r="8" ht="58" customHeight="1">
      <x:c r="A8" s="16" t="str">
        <x:v>V4-007</x:v>
      </x:c>
      <x:c r="B8" s="17" t="str">
        <x:v>Junta Nacional de Justicia evaluó los planes de trabajo de los dos postulantes al cargo de jefe de la ONPE</x:v>
      </x:c>
      <x:c r="C8" s="16" t="str"/>
      <x:c r="D8" s="17" t="str"/>
      <x:c r="E8" s="16" t="str">
        <x:v>1</x:v>
      </x:c>
      <x:c r="F8" s="16" t="str">
        <x:v>1</x:v>
      </x:c>
      <x:c r="G8" s="16" t="str">
        <x:v>0</x:v>
      </x:c>
      <x:c r="H8" s="16" t="str">
        <x:v>sufficient</x:v>
      </x:c>
      <x:c r="I8" s="16" t="str">
        <x:v>no</x:v>
      </x:c>
      <x:c r="J8" s="17" t="str"/>
      <x:c r="K8" s="16" t="str">
        <x:v>v5_focused_review</x:v>
      </x:c>
      <x:c r="L8" s="16" t="str">
        <x:v>exact_consensus</x:v>
      </x:c>
      <x:c r="M8" s="17" t="str"/>
    </x:row>
    <x:row r="9" ht="58" customHeight="1">
      <x:c r="A9" s="16" t="str">
        <x:v>V4-008</x:v>
      </x:c>
      <x:c r="B9" s="17" t="str">
        <x:v>Aldo Bravo, virtual diputado, dice que el próximo Congreso debe priorizar los consensos y el diálogo: “El Perú necesita unidad”</x:v>
      </x:c>
      <x:c r="C9" s="16" t="str"/>
      <x:c r="D9" s="17" t="str"/>
      <x:c r="E9" s="16" t="str">
        <x:v>1</x:v>
      </x:c>
      <x:c r="F9" s="16" t="str">
        <x:v>0</x:v>
      </x:c>
      <x:c r="G9" s="16" t="str">
        <x:v>1</x:v>
      </x:c>
      <x:c r="H9" s="16" t="str">
        <x:v>sufficient</x:v>
      </x:c>
      <x:c r="I9" s="16" t="str">
        <x:v>no</x:v>
      </x:c>
      <x:c r="J9" s="17" t="str"/>
      <x:c r="K9" s="16" t="str">
        <x:v>v5_focused_review</x:v>
      </x:c>
      <x:c r="L9" s="16" t="str">
        <x:v>adjudication</x:v>
      </x:c>
      <x:c r="M9" s="17" t="str">
        <x:v>La fuente primaria de RPP contiene la declaración, su contexto y las prioridades señaladas por Aldo Bravo. Como el reclamo solo atribuye ese pronunciamiento, la fuente primaria basta conforme a la regla de contexto primario.</x:v>
      </x:c>
    </x:row>
    <x:row r="10" ht="58" customHeight="1">
      <x:c r="A10" s="16" t="str">
        <x:v>V4-009</x:v>
      </x:c>
      <x:c r="B10" s="17" t="str">
        <x:v>Causas y azares</x:v>
      </x:c>
      <x:c r="C10" s="16" t="str"/>
      <x:c r="D10" s="17" t="str"/>
      <x:c r="E10" s="16" t="str">
        <x:v>1</x:v>
      </x:c>
      <x:c r="F10" s="16" t="str">
        <x:v>0</x:v>
      </x:c>
      <x:c r="G10" s="16" t="str">
        <x:v>1</x:v>
      </x:c>
      <x:c r="H10" s="16" t="str">
        <x:v>sufficient</x:v>
      </x:c>
      <x:c r="I10" s="16" t="str">
        <x:v>no</x:v>
      </x:c>
      <x:c r="J10" s="17" t="str"/>
      <x:c r="K10" s="16" t="str">
        <x:v>v5_focused_review</x:v>
      </x:c>
      <x:c r="L10" s="16" t="str">
        <x:v>adjudication</x:v>
      </x:c>
      <x:c r="M10" s="17" t="str">
        <x:v>El reclamo es el título de una columna de opinión y la publicación original permite identificar y evaluar directamente su tesis. No se exige corroboración periodística independiente de una opinión para considerar cubierta la publicación.</x:v>
      </x:c>
    </x:row>
    <x:row r="11" ht="58" customHeight="1">
      <x:c r="A11" s="16" t="str">
        <x:v>V4-010</x:v>
      </x:c>
      <x:c r="B11" s="17" t="str">
        <x:v>Poder Judicial archivó la acusación fiscal por asociación ilícita contra Ollanta Humala, Nadine Heredia y otros en caso Gasoducto Sur Peruano</x:v>
      </x:c>
      <x:c r="C11" s="16" t="str"/>
      <x:c r="D11" s="17" t="str"/>
      <x:c r="E11" s="16" t="str">
        <x:v>2</x:v>
      </x:c>
      <x:c r="F11" s="16" t="str">
        <x:v>2</x:v>
      </x:c>
      <x:c r="G11" s="16" t="str">
        <x:v>0</x:v>
      </x:c>
      <x:c r="H11" s="16" t="str">
        <x:v>sufficient</x:v>
      </x:c>
      <x:c r="I11" s="16" t="str">
        <x:v>no</x:v>
      </x:c>
      <x:c r="J11" s="17" t="str"/>
      <x:c r="K11" s="16" t="str">
        <x:v>v5_focused_review</x:v>
      </x:c>
      <x:c r="L11" s="16" t="str">
        <x:v>exact_consensus</x:v>
      </x:c>
      <x:c r="M11" s="17" t="str"/>
    </x:row>
    <x:row r="12" ht="58" customHeight="1">
      <x:c r="A12" s="16" t="str">
        <x:v>V4-011</x:v>
      </x:c>
      <x:c r="B12" s="17" t="str">
        <x:v>Ejecutivo autoriza viaje del canciller Carlos Pareja a Panamá para participar en Asamblea General de la OEA</x:v>
      </x:c>
      <x:c r="C12" s="16" t="str"/>
      <x:c r="D12" s="17" t="str"/>
      <x:c r="E12" s="16" t="str">
        <x:v>1</x:v>
      </x:c>
      <x:c r="F12" s="16" t="str">
        <x:v>1</x:v>
      </x:c>
      <x:c r="G12" s="16" t="str">
        <x:v>0</x:v>
      </x:c>
      <x:c r="H12" s="16" t="str">
        <x:v>sufficient</x:v>
      </x:c>
      <x:c r="I12" s="16" t="str">
        <x:v>no</x:v>
      </x:c>
      <x:c r="J12" s="17" t="str"/>
      <x:c r="K12" s="16" t="str">
        <x:v>v5_focused_review</x:v>
      </x:c>
      <x:c r="L12" s="16" t="str">
        <x:v>exact_consensus</x:v>
      </x:c>
      <x:c r="M12" s="17" t="str"/>
    </x:row>
    <x:row r="13" ht="58" customHeight="1">
      <x:c r="A13" s="16" t="str">
        <x:v>V4-012</x:v>
      </x:c>
      <x:c r="B13" s="17" t="str">
        <x:v>Roberto Sánchez en pronunciamiento con López Chau y Belmont: “Reconocemos que JNE haya proclamado oficialmente los resultados electorales”</x:v>
      </x:c>
      <x:c r="C13" s="16" t="str"/>
      <x:c r="D13" s="17" t="str"/>
      <x:c r="E13" s="16" t="str">
        <x:v>3</x:v>
      </x:c>
      <x:c r="F13" s="16" t="str">
        <x:v>3</x:v>
      </x:c>
      <x:c r="G13" s="16" t="str">
        <x:v>0</x:v>
      </x:c>
      <x:c r="H13" s="16" t="str">
        <x:v>sufficient</x:v>
      </x:c>
      <x:c r="I13" s="16" t="str">
        <x:v>no</x:v>
      </x:c>
      <x:c r="J13" s="17" t="str"/>
      <x:c r="K13" s="16" t="str">
        <x:v>v5_focused_review</x:v>
      </x:c>
      <x:c r="L13" s="16" t="str">
        <x:v>exact_consensus</x:v>
      </x:c>
      <x:c r="M13" s="17" t="str"/>
    </x:row>
    <x:row r="14" ht="58" customHeight="1">
      <x:c r="A14" s="16" t="str">
        <x:v>V4-013</x:v>
      </x:c>
      <x:c r="B14" s="17" t="str">
        <x:v>Elecciones regionales y municipales 2026: JNE admitirá todas las listas de candidatos hasta el 5 de agosto</x:v>
      </x:c>
      <x:c r="C14" s="16" t="str"/>
      <x:c r="D14" s="17" t="str"/>
      <x:c r="E14" s="16" t="str">
        <x:v>1</x:v>
      </x:c>
      <x:c r="F14" s="16" t="str">
        <x:v>1</x:v>
      </x:c>
      <x:c r="G14" s="16" t="str">
        <x:v>0</x:v>
      </x:c>
      <x:c r="H14" s="16" t="str">
        <x:v>sufficient</x:v>
      </x:c>
      <x:c r="I14" s="16" t="str">
        <x:v>no</x:v>
      </x:c>
      <x:c r="J14" s="17" t="str"/>
      <x:c r="K14" s="16" t="str">
        <x:v>v4_prior_blind_review</x:v>
      </x:c>
      <x:c r="L14" s="16" t="str">
        <x:v>exact_consensus</x:v>
      </x:c>
      <x:c r="M14" s="17" t="str"/>
    </x:row>
    <x:row r="15" ht="58" customHeight="1">
      <x:c r="A15" s="16" t="str">
        <x:v>V4-014</x:v>
      </x:c>
      <x:c r="B15" s="17" t="str">
        <x:v>Partidos inician proceso de inscripción de candidatos a la alcaldía de Lima a contrarreloj</x:v>
      </x:c>
      <x:c r="C15" s="16" t="str"/>
      <x:c r="D15" s="17" t="str"/>
      <x:c r="E15" s="16" t="str">
        <x:v>2</x:v>
      </x:c>
      <x:c r="F15" s="16" t="str">
        <x:v>2</x:v>
      </x:c>
      <x:c r="G15" s="16" t="str">
        <x:v>0</x:v>
      </x:c>
      <x:c r="H15" s="16" t="str">
        <x:v>sufficient</x:v>
      </x:c>
      <x:c r="I15" s="16" t="str">
        <x:v>no</x:v>
      </x:c>
      <x:c r="J15" s="17" t="str"/>
      <x:c r="K15" s="16" t="str">
        <x:v>v5_focused_review</x:v>
      </x:c>
      <x:c r="L15" s="16" t="str">
        <x:v>exact_consensus</x:v>
      </x:c>
      <x:c r="M15" s="17" t="str"/>
    </x:row>
    <x:row r="16" ht="58" customHeight="1">
      <x:c r="A16" s="16" t="str">
        <x:v>V4-015</x:v>
      </x:c>
      <x:c r="B16" s="17" t="str">
        <x:v>¿Y qué pasará con el Congreso?</x:v>
      </x:c>
      <x:c r="C16" s="16" t="str"/>
      <x:c r="D16" s="17" t="str"/>
      <x:c r="E16" s="16" t="str">
        <x:v>1</x:v>
      </x:c>
      <x:c r="F16" s="16" t="str">
        <x:v>1</x:v>
      </x:c>
      <x:c r="G16" s="16" t="str">
        <x:v>0</x:v>
      </x:c>
      <x:c r="H16" s="16" t="str">
        <x:v>sufficient</x:v>
      </x:c>
      <x:c r="I16" s="16" t="str">
        <x:v>no</x:v>
      </x:c>
      <x:c r="J16" s="17" t="str"/>
      <x:c r="K16" s="16" t="str">
        <x:v>v5_focused_review</x:v>
      </x:c>
      <x:c r="L16" s="16" t="str">
        <x:v>exact_consensus</x:v>
      </x:c>
      <x:c r="M16" s="17" t="str"/>
    </x:row>
    <x:row r="17" ht="58" customHeight="1">
      <x:c r="A17" s="16" t="str">
        <x:v>V4-016</x:v>
      </x:c>
      <x:c r="B17" s="17" t="str">
        <x:v>Luna de hiel</x:v>
      </x:c>
      <x:c r="C17" s="16" t="str"/>
      <x:c r="D17" s="17" t="str"/>
      <x:c r="E17" s="16" t="str">
        <x:v>1</x:v>
      </x:c>
      <x:c r="F17" s="16" t="str">
        <x:v>1</x:v>
      </x:c>
      <x:c r="G17" s="16" t="str">
        <x:v>0</x:v>
      </x:c>
      <x:c r="H17" s="16" t="str">
        <x:v>sufficient</x:v>
      </x:c>
      <x:c r="I17" s="16" t="str">
        <x:v>no</x:v>
      </x:c>
      <x:c r="J17" s="17" t="str"/>
      <x:c r="K17" s="16" t="str">
        <x:v>v4_prior_blind_review</x:v>
      </x:c>
      <x:c r="L17" s="16" t="str">
        <x:v>exact_consensus</x:v>
      </x:c>
      <x:c r="M17" s="17" t="str"/>
    </x:row>
    <x:row r="18" ht="58" customHeight="1">
      <x:c r="A18" s="16" t="str">
        <x:v>V4-017</x:v>
      </x:c>
      <x:c r="B18" s="17" t="str">
        <x:v>Keiko Fujimori a Roberto Sánchez: “Los votos de cualquier ciudad, región o del extranjero son válidos y deben ser respetados”</x:v>
      </x:c>
      <x:c r="C18" s="16" t="str"/>
      <x:c r="D18" s="17" t="str"/>
      <x:c r="E18" s="16" t="str">
        <x:v>1</x:v>
      </x:c>
      <x:c r="F18" s="16" t="str">
        <x:v>1</x:v>
      </x:c>
      <x:c r="G18" s="16" t="str">
        <x:v>0</x:v>
      </x:c>
      <x:c r="H18" s="16" t="str">
        <x:v>sufficient</x:v>
      </x:c>
      <x:c r="I18" s="16" t="str">
        <x:v>no</x:v>
      </x:c>
      <x:c r="J18" s="17" t="str"/>
      <x:c r="K18" s="16" t="str">
        <x:v>v5_focused_review</x:v>
      </x:c>
      <x:c r="L18" s="16" t="str">
        <x:v>exact_consensus</x:v>
      </x:c>
      <x:c r="M18" s="17" t="str"/>
    </x:row>
    <x:row r="19" ht="58" customHeight="1">
      <x:c r="A19" s="16" t="str">
        <x:v>V4-018</x:v>
      </x:c>
      <x:c r="B19" s="17" t="str">
        <x:v>Juntos por el Perú: ¿Qué debería pasar con el dinero que recaudó para financiar pedidos de nulidad tras suspender colecta?</x:v>
      </x:c>
      <x:c r="C19" s="16" t="str"/>
      <x:c r="D19" s="17" t="str"/>
      <x:c r="E19" s="16" t="str">
        <x:v>3</x:v>
      </x:c>
      <x:c r="F19" s="16" t="str">
        <x:v>3</x:v>
      </x:c>
      <x:c r="G19" s="16" t="str">
        <x:v>0</x:v>
      </x:c>
      <x:c r="H19" s="16" t="str">
        <x:v>sufficient</x:v>
      </x:c>
      <x:c r="I19" s="16" t="str">
        <x:v>no</x:v>
      </x:c>
      <x:c r="J19" s="17" t="str"/>
      <x:c r="K19" s="16" t="str">
        <x:v>v5_focused_review</x:v>
      </x:c>
      <x:c r="L19" s="16" t="str">
        <x:v>exact_consensus</x:v>
      </x:c>
      <x:c r="M19" s="17" t="str"/>
    </x:row>
    <x:row r="20" ht="58" customHeight="1">
      <x:c r="A20" s="16" t="str">
        <x:v>V4-019</x:v>
      </x:c>
      <x:c r="B20" s="17" t="str">
        <x:v>Miguel Torres y Cecilia Chacón presidirán la Junta Preparatoria del Congreso bicameral: ¿Quiénes más la integran y cuáles serán sus funciones?</x:v>
      </x:c>
      <x:c r="C20" s="16" t="str"/>
      <x:c r="D20" s="17" t="str"/>
      <x:c r="E20" s="16" t="str">
        <x:v>1</x:v>
      </x:c>
      <x:c r="F20" s="16" t="str">
        <x:v>1</x:v>
      </x:c>
      <x:c r="G20" s="16" t="str">
        <x:v>0</x:v>
      </x:c>
      <x:c r="H20" s="16" t="str">
        <x:v>sufficient</x:v>
      </x:c>
      <x:c r="I20" s="16" t="str">
        <x:v>no</x:v>
      </x:c>
      <x:c r="J20" s="17" t="str"/>
      <x:c r="K20" s="16" t="str">
        <x:v>v5_focused_review</x:v>
      </x:c>
      <x:c r="L20" s="16" t="str">
        <x:v>exact_consensus</x:v>
      </x:c>
      <x:c r="M20" s="17" t="str"/>
    </x:row>
    <x:row r="21" ht="58" customHeight="1">
      <x:c r="A21" s="16" t="str">
        <x:v>V4-020</x:v>
      </x:c>
      <x:c r="B21" s="17" t="str">
        <x:v>Keiko Fujimori: estas son las redes sociales oficiales en las cuales informará sobre sus actividades</x:v>
      </x:c>
      <x:c r="C21" s="16" t="str"/>
      <x:c r="D21" s="17" t="str"/>
      <x:c r="E21" s="16" t="str">
        <x:v>2</x:v>
      </x:c>
      <x:c r="F21" s="16" t="str">
        <x:v>2</x:v>
      </x:c>
      <x:c r="G21" s="16" t="str">
        <x:v>0</x:v>
      </x:c>
      <x:c r="H21" s="16" t="str">
        <x:v>sufficient</x:v>
      </x:c>
      <x:c r="I21" s="16" t="str">
        <x:v>no</x:v>
      </x:c>
      <x:c r="J21" s="17" t="str"/>
      <x:c r="K21" s="16" t="str">
        <x:v>v4_prior_blind_review</x:v>
      </x:c>
      <x:c r="L21" s="16" t="str">
        <x:v>exact_consensus</x:v>
      </x:c>
      <x:c r="M21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67C0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5" hidden="0" customWidth="1"/>
    <x:col min="4" max="4" width="24" hidden="0" customWidth="1"/>
    <x:col min="5" max="5" width="22" hidden="0" customWidth="1"/>
    <x:col min="6" max="6" width="48" hidden="0" customWidth="1"/>
  </x:cols>
  <x:sheetData>
    <x:row r="1" ht="42" customHeight="1">
      <x:c r="A1" s="13" t="str">
        <x:v>record_type</x:v>
      </x:c>
      <x:c r="B1" s="14" t="str">
        <x:v>record_id</x:v>
      </x:c>
      <x:c r="C1" s="14" t="str">
        <x:v>case_id</x:v>
      </x:c>
      <x:c r="D1" s="14" t="str">
        <x:v>review_provenance</x:v>
      </x:c>
      <x:c r="E1" s="14" t="str">
        <x:v>source_role</x:v>
      </x:c>
      <x:c r="F1" s="15" t="str">
        <x:v>url</x:v>
      </x:c>
    </x:row>
    <x:row r="2" ht="58" customHeight="1">
      <x:c r="A2" s="16" t="str">
        <x:v>source</x:v>
      </x:c>
      <x:c r="B2" s="16" t="str">
        <x:v>V5FULL-V4-001-S01</x:v>
      </x:c>
      <x:c r="C2" s="16" t="str">
        <x:v>V4-001</x:v>
      </x:c>
      <x:c r="D2" s="16" t="str">
        <x:v>v4_prior_blind_review</x:v>
      </x:c>
      <x:c r="E2" s="17" t="str">
        <x:v>independent_evidence</x:v>
      </x:c>
      <x:c r="F2" s="17" t="str">
        <x:v>https://www.infobae.com/peru/2026/06/23/transparencia-responde-a-roberto-sanchez-y-rechaza-denuncias-de-fraude-electoral-respeten-las-reglas-del-proceso/</x:v>
      </x:c>
    </x:row>
    <x:row r="3" ht="58" customHeight="1">
      <x:c r="A3" s="16" t="str">
        <x:v>source</x:v>
      </x:c>
      <x:c r="B3" s="16" t="str">
        <x:v>V5FULL-V4-001-S02</x:v>
      </x:c>
      <x:c r="C3" s="16" t="str">
        <x:v>V4-001</x:v>
      </x:c>
      <x:c r="D3" s="16" t="str">
        <x:v>v5_focused_review</x:v>
      </x:c>
      <x:c r="E3" s="17" t="str">
        <x:v>independent_evidence</x:v>
      </x:c>
      <x:c r="F3" s="17" t="str">
        <x:v>https://andina.pe/agencia/noticia-elecciones-2026-transparencia-rechaza-discursos-deslegitiman-proceso-electoral-1080763.aspx</x:v>
      </x:c>
    </x:row>
    <x:row r="4" ht="58" customHeight="1">
      <x:c r="A4" s="16" t="str">
        <x:v>coverage</x:v>
      </x:c>
      <x:c r="B4" s="16" t="str">
        <x:v>V4-001</x:v>
      </x:c>
      <x:c r="C4" s="16" t="str">
        <x:v>V4-001</x:v>
      </x:c>
      <x:c r="D4" s="16" t="str">
        <x:v>v5_focused_review</x:v>
      </x:c>
      <x:c r="E4" s="17" t="str">
        <x:v>case_set</x:v>
      </x:c>
      <x:c r="F4" s="17" t="str"/>
    </x:row>
    <x:row r="5" ht="58" customHeight="1">
      <x:c r="A5" s="16" t="str">
        <x:v>source</x:v>
      </x:c>
      <x:c r="B5" s="16" t="str">
        <x:v>V5FULL-V4-002-S01</x:v>
      </x:c>
      <x:c r="C5" s="16" t="str">
        <x:v>V4-002</x:v>
      </x:c>
      <x:c r="D5" s="16" t="str">
        <x:v>v4_prior_blind_review</x:v>
      </x:c>
      <x:c r="E5" s="17" t="str">
        <x:v>independent_evidence</x:v>
      </x:c>
      <x:c r="F5" s="17" t="str">
        <x:v>https://www.infobae.com/peru/2026/06/18/elecciones-2026-carlos-bruce-es-el-primer-candidato-inscrito-para-la-alcaldia-de-lima/</x:v>
      </x:c>
    </x:row>
    <x:row r="6" ht="58" customHeight="1">
      <x:c r="A6" s="16" t="str">
        <x:v>source</x:v>
      </x:c>
      <x:c r="B6" s="16" t="str">
        <x:v>V5FULL-V4-002-S02</x:v>
      </x:c>
      <x:c r="C6" s="16" t="str">
        <x:v>V4-002</x:v>
      </x:c>
      <x:c r="D6" s="16" t="str">
        <x:v>v4_prior_blind_review</x:v>
      </x:c>
      <x:c r="E6" s="17" t="str">
        <x:v>independent_evidence</x:v>
      </x:c>
      <x:c r="F6" s="17" t="str">
        <x:v>https://gestion.pe/peru/somos-peru-inscribe-a-carlos-bruce-como-candidato-a-la-alcaldia-de-lima-para-2026-noticia/</x:v>
      </x:c>
    </x:row>
    <x:row r="7" ht="58" customHeight="1">
      <x:c r="A7" s="16" t="str">
        <x:v>coverage</x:v>
      </x:c>
      <x:c r="B7" s="16" t="str">
        <x:v>V4-002</x:v>
      </x:c>
      <x:c r="C7" s="16" t="str">
        <x:v>V4-002</x:v>
      </x:c>
      <x:c r="D7" s="16" t="str">
        <x:v>v4_prior_blind_review</x:v>
      </x:c>
      <x:c r="E7" s="17" t="str">
        <x:v>case_set</x:v>
      </x:c>
      <x:c r="F7" s="17" t="str"/>
    </x:row>
    <x:row r="8" ht="58" customHeight="1">
      <x:c r="A8" s="16" t="str">
        <x:v>coverage</x:v>
      </x:c>
      <x:c r="B8" s="16" t="str">
        <x:v>V4-003</x:v>
      </x:c>
      <x:c r="C8" s="16" t="str">
        <x:v>V4-003</x:v>
      </x:c>
      <x:c r="D8" s="16" t="str">
        <x:v>v5_focused_review</x:v>
      </x:c>
      <x:c r="E8" s="17" t="str">
        <x:v>case_set</x:v>
      </x:c>
      <x:c r="F8" s="17" t="str"/>
    </x:row>
    <x:row r="9" ht="58" customHeight="1">
      <x:c r="A9" s="16" t="str">
        <x:v>source</x:v>
      </x:c>
      <x:c r="B9" s="16" t="str">
        <x:v>V5FULL-V4-004-S01</x:v>
      </x:c>
      <x:c r="C9" s="16" t="str">
        <x:v>V4-004</x:v>
      </x:c>
      <x:c r="D9" s="16" t="str">
        <x:v>v5_focused_review</x:v>
      </x:c>
      <x:c r="E9" s="17" t="str">
        <x:v>independent_evidence</x:v>
      </x:c>
      <x:c r="F9" s="17" t="str">
        <x:v>https://larepublica.pe/politica/2026/06/17/german-juarez-investigado-cohecho-coordinador-lavado-de-activos-lava-jato-hnews-964359</x:v>
      </x:c>
    </x:row>
    <x:row r="10" ht="58" customHeight="1">
      <x:c r="A10" s="16" t="str">
        <x:v>coverage</x:v>
      </x:c>
      <x:c r="B10" s="16" t="str">
        <x:v>V4-004</x:v>
      </x:c>
      <x:c r="C10" s="16" t="str">
        <x:v>V4-004</x:v>
      </x:c>
      <x:c r="D10" s="16" t="str">
        <x:v>v5_focused_review</x:v>
      </x:c>
      <x:c r="E10" s="17" t="str">
        <x:v>case_set</x:v>
      </x:c>
      <x:c r="F10" s="17" t="str"/>
    </x:row>
    <x:row r="11" ht="58" customHeight="1">
      <x:c r="A11" s="16" t="str">
        <x:v>source</x:v>
      </x:c>
      <x:c r="B11" s="16" t="str">
        <x:v>V5FULL-V4-005-S01</x:v>
      </x:c>
      <x:c r="C11" s="16" t="str">
        <x:v>V4-005</x:v>
      </x:c>
      <x:c r="D11" s="16" t="str">
        <x:v>v5_focused_review</x:v>
      </x:c>
      <x:c r="E11" s="17" t="str">
        <x:v>independent_evidence</x:v>
      </x:c>
      <x:c r="F11" s="17" t="str">
        <x:v>https://www.infobae.com/peru/2026/06/24/keiko-fujimori-y-su-victoria-inminente-cuales-son-los-principales-retos-durante-sus-primeros-100-dias-de-gobierno/</x:v>
      </x:c>
    </x:row>
    <x:row r="12" ht="58" customHeight="1">
      <x:c r="A12" s="16" t="str">
        <x:v>coverage</x:v>
      </x:c>
      <x:c r="B12" s="16" t="str">
        <x:v>V4-005</x:v>
      </x:c>
      <x:c r="C12" s="16" t="str">
        <x:v>V4-005</x:v>
      </x:c>
      <x:c r="D12" s="16" t="str">
        <x:v>v5_focused_review</x:v>
      </x:c>
      <x:c r="E12" s="17" t="str">
        <x:v>case_set</x:v>
      </x:c>
      <x:c r="F12" s="17" t="str"/>
    </x:row>
    <x:row r="13" ht="58" customHeight="1">
      <x:c r="A13" s="16" t="str">
        <x:v>source</x:v>
      </x:c>
      <x:c r="B13" s="16" t="str">
        <x:v>V5FULL-V4-006-S01</x:v>
      </x:c>
      <x:c r="C13" s="16" t="str">
        <x:v>V4-006</x:v>
      </x:c>
      <x:c r="D13" s="16" t="str">
        <x:v>v5_focused_review</x:v>
      </x:c>
      <x:c r="E13" s="17" t="str">
        <x:v>independent_evidence</x:v>
      </x:c>
      <x:c r="F13" s="17" t="str">
        <x:v>https://www.infobae.com/peru/2026/07/04/este-es-el-acta-del-jne-que-proclama-a-keiko-fujimori-como-presidenta-de-la-republica/</x:v>
      </x:c>
    </x:row>
    <x:row r="14" ht="58" customHeight="1">
      <x:c r="A14" s="16" t="str">
        <x:v>coverage</x:v>
      </x:c>
      <x:c r="B14" s="16" t="str">
        <x:v>V4-006</x:v>
      </x:c>
      <x:c r="C14" s="16" t="str">
        <x:v>V4-006</x:v>
      </x:c>
      <x:c r="D14" s="16" t="str">
        <x:v>v5_focused_review</x:v>
      </x:c>
      <x:c r="E14" s="17" t="str">
        <x:v>case_set</x:v>
      </x:c>
      <x:c r="F14" s="17" t="str"/>
    </x:row>
    <x:row r="15" ht="58" customHeight="1">
      <x:c r="A15" s="16" t="str">
        <x:v>source</x:v>
      </x:c>
      <x:c r="B15" s="16" t="str">
        <x:v>V5FULL-V4-007-S01</x:v>
      </x:c>
      <x:c r="C15" s="16" t="str">
        <x:v>V4-007</x:v>
      </x:c>
      <x:c r="D15" s="16" t="str">
        <x:v>v4_prior_blind_review</x:v>
      </x:c>
      <x:c r="E15" s="17" t="str">
        <x:v>independent_evidence</x:v>
      </x:c>
      <x:c r="F15" s="17" t="str">
        <x:v>https://www.gob.pe/institucion/jnj/noticias/1407262-jnj-evaluo-los-planes-de-trabajo-de-los-postulantes-al-cargo-de-jefe-de-onpe</x:v>
      </x:c>
    </x:row>
    <x:row r="16" ht="58" customHeight="1">
      <x:c r="A16" s="16" t="str">
        <x:v>coverage</x:v>
      </x:c>
      <x:c r="B16" s="16" t="str">
        <x:v>V4-007</x:v>
      </x:c>
      <x:c r="C16" s="16" t="str">
        <x:v>V4-007</x:v>
      </x:c>
      <x:c r="D16" s="16" t="str">
        <x:v>v5_focused_review</x:v>
      </x:c>
      <x:c r="E16" s="17" t="str">
        <x:v>case_set</x:v>
      </x:c>
      <x:c r="F16" s="17" t="str"/>
    </x:row>
    <x:row r="17" ht="58" customHeight="1">
      <x:c r="A17" s="16" t="str">
        <x:v>coverage</x:v>
      </x:c>
      <x:c r="B17" s="16" t="str">
        <x:v>V4-008</x:v>
      </x:c>
      <x:c r="C17" s="16" t="str">
        <x:v>V4-008</x:v>
      </x:c>
      <x:c r="D17" s="16" t="str">
        <x:v>v5_focused_review</x:v>
      </x:c>
      <x:c r="E17" s="17" t="str">
        <x:v>case_set</x:v>
      </x:c>
      <x:c r="F17" s="17" t="str"/>
    </x:row>
    <x:row r="18" ht="58" customHeight="1">
      <x:c r="A18" s="16" t="str">
        <x:v>coverage</x:v>
      </x:c>
      <x:c r="B18" s="16" t="str">
        <x:v>V4-009</x:v>
      </x:c>
      <x:c r="C18" s="16" t="str">
        <x:v>V4-009</x:v>
      </x:c>
      <x:c r="D18" s="16" t="str">
        <x:v>v5_focused_review</x:v>
      </x:c>
      <x:c r="E18" s="17" t="str">
        <x:v>case_set</x:v>
      </x:c>
      <x:c r="F18" s="17" t="str"/>
    </x:row>
    <x:row r="19" ht="58" customHeight="1">
      <x:c r="A19" s="16" t="str">
        <x:v>source</x:v>
      </x:c>
      <x:c r="B19" s="16" t="str">
        <x:v>V5FULL-V4-010-S01</x:v>
      </x:c>
      <x:c r="C19" s="16" t="str">
        <x:v>V4-010</x:v>
      </x:c>
      <x:c r="D19" s="16" t="str">
        <x:v>v4_prior_blind_review</x:v>
      </x:c>
      <x:c r="E19" s="17" t="str">
        <x:v>independent_evidence</x:v>
      </x:c>
      <x:c r="F19" s="17" t="str">
        <x:v>https://www.infobae.com/peru/2026/07/05/poder-judicial-archiva-acusacion-contra-ollanta-humala-y-nadine-heredia-por-caso-gasoducto-sur-peruano/</x:v>
      </x:c>
    </x:row>
    <x:row r="20" ht="58" customHeight="1">
      <x:c r="A20" s="16" t="str">
        <x:v>source</x:v>
      </x:c>
      <x:c r="B20" s="16" t="str">
        <x:v>V5FULL-V4-010-S02</x:v>
      </x:c>
      <x:c r="C20" s="16" t="str">
        <x:v>V4-010</x:v>
      </x:c>
      <x:c r="D20" s="16" t="str">
        <x:v>v5_focused_review</x:v>
      </x:c>
      <x:c r="E20" s="17" t="str">
        <x:v>independent_evidence</x:v>
      </x:c>
      <x:c r="F20" s="17" t="str">
        <x:v>https://caretas.pe/politica/poder-judicial-archiva-un-delito-contra-ollanta-humala-y-nadine-heredia-esto-cambia-en-el-caso-gasoducto-sur-peruano/</x:v>
      </x:c>
    </x:row>
    <x:row r="21" ht="58" customHeight="1">
      <x:c r="A21" s="16" t="str">
        <x:v>coverage</x:v>
      </x:c>
      <x:c r="B21" s="16" t="str">
        <x:v>V4-010</x:v>
      </x:c>
      <x:c r="C21" s="16" t="str">
        <x:v>V4-010</x:v>
      </x:c>
      <x:c r="D21" s="16" t="str">
        <x:v>v5_focused_review</x:v>
      </x:c>
      <x:c r="E21" s="17" t="str">
        <x:v>case_set</x:v>
      </x:c>
      <x:c r="F21" s="17" t="str"/>
    </x:row>
    <x:row r="22" ht="58" customHeight="1">
      <x:c r="A22" s="16" t="str">
        <x:v>source</x:v>
      </x:c>
      <x:c r="B22" s="16" t="str">
        <x:v>V5FULL-V4-011-S01</x:v>
      </x:c>
      <x:c r="C22" s="16" t="str">
        <x:v>V4-011</x:v>
      </x:c>
      <x:c r="D22" s="16" t="str">
        <x:v>v4_prior_blind_review</x:v>
      </x:c>
      <x:c r="E22" s="17" t="str">
        <x:v>independent_evidence</x:v>
      </x:c>
      <x:c r="F22" s="17" t="str">
        <x:v>https://elperuano.pe/noticia/298061-autorizan-viaje-de-canciller-carlos-pareja-a-panama-para-asamblea-general-de-la-oea</x:v>
      </x:c>
    </x:row>
    <x:row r="23" ht="58" customHeight="1">
      <x:c r="A23" s="16" t="str">
        <x:v>coverage</x:v>
      </x:c>
      <x:c r="B23" s="16" t="str">
        <x:v>V4-011</x:v>
      </x:c>
      <x:c r="C23" s="16" t="str">
        <x:v>V4-011</x:v>
      </x:c>
      <x:c r="D23" s="16" t="str">
        <x:v>v5_focused_review</x:v>
      </x:c>
      <x:c r="E23" s="17" t="str">
        <x:v>case_set</x:v>
      </x:c>
      <x:c r="F23" s="17" t="str"/>
    </x:row>
    <x:row r="24" ht="58" customHeight="1">
      <x:c r="A24" s="16" t="str">
        <x:v>source</x:v>
      </x:c>
      <x:c r="B24" s="16" t="str">
        <x:v>V5FULL-V4-012-S01</x:v>
      </x:c>
      <x:c r="C24" s="16" t="str">
        <x:v>V4-012</x:v>
      </x:c>
      <x:c r="D24" s="16" t="str">
        <x:v>v4_prior_blind_review</x:v>
      </x:c>
      <x:c r="E24" s="17" t="str">
        <x:v>independent_evidence</x:v>
      </x:c>
      <x:c r="F24" s="17" t="str">
        <x:v>https://elperuano.pe/noticia/299589-roberto-sanchez-reconoce-resultados-electorales-proclamados-por-el-jne</x:v>
      </x:c>
    </x:row>
    <x:row r="25" ht="58" customHeight="1">
      <x:c r="A25" s="16" t="str">
        <x:v>source</x:v>
      </x:c>
      <x:c r="B25" s="16" t="str">
        <x:v>V5FULL-V4-012-S02</x:v>
      </x:c>
      <x:c r="C25" s="16" t="str">
        <x:v>V4-012</x:v>
      </x:c>
      <x:c r="D25" s="16" t="str">
        <x:v>v5_focused_review</x:v>
      </x:c>
      <x:c r="E25" s="17" t="str">
        <x:v>independent_evidence</x:v>
      </x:c>
      <x:c r="F25" s="17" t="str">
        <x:v>https://www.tvperu.gob.pe/noticias/politica/juntos-por-el-peru-ahora-nacion-y-obras-reconocen-resultados-del-jne-y-anuncian-alianza-parlamentaria</x:v>
      </x:c>
    </x:row>
    <x:row r="26" ht="58" customHeight="1">
      <x:c r="A26" s="16" t="str">
        <x:v>source</x:v>
      </x:c>
      <x:c r="B26" s="16" t="str">
        <x:v>V5FULL-V4-012-S03</x:v>
      </x:c>
      <x:c r="C26" s="16" t="str">
        <x:v>V4-012</x:v>
      </x:c>
      <x:c r="D26" s="16" t="str">
        <x:v>v5_focused_review</x:v>
      </x:c>
      <x:c r="E26" s="17" t="str">
        <x:v>independent_evidence</x:v>
      </x:c>
      <x:c r="F26" s="17" t="str">
        <x:v>https://gestion.pe/peru/roberto-sanchez-reconoce-resultados-y-anuncia-coalicion-legislativa-con-lopez-chau-y-belmont-noticia/</x:v>
      </x:c>
    </x:row>
    <x:row r="27" ht="58" customHeight="1">
      <x:c r="A27" s="16" t="str">
        <x:v>coverage</x:v>
      </x:c>
      <x:c r="B27" s="16" t="str">
        <x:v>V4-012</x:v>
      </x:c>
      <x:c r="C27" s="16" t="str">
        <x:v>V4-012</x:v>
      </x:c>
      <x:c r="D27" s="16" t="str">
        <x:v>v5_focused_review</x:v>
      </x:c>
      <x:c r="E27" s="17" t="str">
        <x:v>case_set</x:v>
      </x:c>
      <x:c r="F27" s="17" t="str"/>
    </x:row>
    <x:row r="28" ht="58" customHeight="1">
      <x:c r="A28" s="16" t="str">
        <x:v>source</x:v>
      </x:c>
      <x:c r="B28" s="16" t="str">
        <x:v>V5FULL-V4-013-S01</x:v>
      </x:c>
      <x:c r="C28" s="16" t="str">
        <x:v>V4-013</x:v>
      </x:c>
      <x:c r="D28" s="16" t="str">
        <x:v>v4_prior_blind_review</x:v>
      </x:c>
      <x:c r="E28" s="17" t="str">
        <x:v>independent_evidence</x:v>
      </x:c>
      <x:c r="F28" s="17" t="str">
        <x:v>https://andina.pe/agencia/noticia-erm-2026-hoy-miercoles-5-es-fecha-limite-para-publicar-listas-candidatos-admitidas-1086310.aspx</x:v>
      </x:c>
    </x:row>
    <x:row r="29" ht="58" customHeight="1">
      <x:c r="A29" s="16" t="str">
        <x:v>coverage</x:v>
      </x:c>
      <x:c r="B29" s="16" t="str">
        <x:v>V4-013</x:v>
      </x:c>
      <x:c r="C29" s="16" t="str">
        <x:v>V4-013</x:v>
      </x:c>
      <x:c r="D29" s="16" t="str">
        <x:v>v4_prior_blind_review</x:v>
      </x:c>
      <x:c r="E29" s="17" t="str">
        <x:v>case_set</x:v>
      </x:c>
      <x:c r="F29" s="17" t="str"/>
    </x:row>
    <x:row r="30" ht="58" customHeight="1">
      <x:c r="A30" s="16" t="str">
        <x:v>source</x:v>
      </x:c>
      <x:c r="B30" s="16" t="str">
        <x:v>V5FULL-V4-014-S01</x:v>
      </x:c>
      <x:c r="C30" s="16" t="str">
        <x:v>V4-014</x:v>
      </x:c>
      <x:c r="D30" s="16" t="str">
        <x:v>v5_focused_review</x:v>
      </x:c>
      <x:c r="E30" s="17" t="str">
        <x:v>independent_evidence</x:v>
      </x:c>
      <x:c r="F30" s="17" t="str">
        <x:v>https://gestion.pe/peru/politica/se-presentaron-22-candidatos-a-la-alcaldia-de-lima-sepa-quienes-son-noticia/</x:v>
      </x:c>
    </x:row>
    <x:row r="31" ht="58" customHeight="1">
      <x:c r="A31" s="16" t="str">
        <x:v>source</x:v>
      </x:c>
      <x:c r="B31" s="16" t="str">
        <x:v>V5FULL-V4-014-S02</x:v>
      </x:c>
      <x:c r="C31" s="16" t="str">
        <x:v>V4-014</x:v>
      </x:c>
      <x:c r="D31" s="16" t="str">
        <x:v>v4_prior_blind_review</x:v>
      </x:c>
      <x:c r="E31" s="17" t="str">
        <x:v>independent_evidence</x:v>
      </x:c>
      <x:c r="F31" s="17" t="str">
        <x:v>https://www.infobae.com/peru/2026/06/18/elecciones-2026-carlos-bruce-es-el-primer-candidato-inscrito-para-la-alcaldia-de-lima/</x:v>
      </x:c>
    </x:row>
    <x:row r="32" ht="58" customHeight="1">
      <x:c r="A32" s="16" t="str">
        <x:v>coverage</x:v>
      </x:c>
      <x:c r="B32" s="16" t="str">
        <x:v>V4-014</x:v>
      </x:c>
      <x:c r="C32" s="16" t="str">
        <x:v>V4-014</x:v>
      </x:c>
      <x:c r="D32" s="16" t="str">
        <x:v>v5_focused_review</x:v>
      </x:c>
      <x:c r="E32" s="17" t="str">
        <x:v>case_set</x:v>
      </x:c>
      <x:c r="F32" s="17" t="str"/>
    </x:row>
    <x:row r="33" ht="58" customHeight="1">
      <x:c r="A33" s="16" t="str">
        <x:v>source</x:v>
      </x:c>
      <x:c r="B33" s="16" t="str">
        <x:v>V5FULL-V4-015-S01</x:v>
      </x:c>
      <x:c r="C33" s="16" t="str">
        <x:v>V4-015</x:v>
      </x:c>
      <x:c r="D33" s="16" t="str">
        <x:v>v5_focused_review</x:v>
      </x:c>
      <x:c r="E33" s="17" t="str">
        <x:v>independent_evidence</x:v>
      </x:c>
      <x:c r="F33" s="17" t="str">
        <x:v>https://willax.pe/politica/enrique-castillo-votos-viciados-reto-nuevo-presidente-congreso-willax</x:v>
      </x:c>
    </x:row>
    <x:row r="34" ht="58" customHeight="1">
      <x:c r="A34" s="16" t="str">
        <x:v>coverage</x:v>
      </x:c>
      <x:c r="B34" s="16" t="str">
        <x:v>V4-015</x:v>
      </x:c>
      <x:c r="C34" s="16" t="str">
        <x:v>V4-015</x:v>
      </x:c>
      <x:c r="D34" s="16" t="str">
        <x:v>v5_focused_review</x:v>
      </x:c>
      <x:c r="E34" s="17" t="str">
        <x:v>case_set</x:v>
      </x:c>
      <x:c r="F34" s="17" t="str"/>
    </x:row>
    <x:row r="35" ht="58" customHeight="1">
      <x:c r="A35" s="16" t="str">
        <x:v>source</x:v>
      </x:c>
      <x:c r="B35" s="16" t="str">
        <x:v>V5FULL-V4-016-S01</x:v>
      </x:c>
      <x:c r="C35" s="16" t="str">
        <x:v>V4-016</x:v>
      </x:c>
      <x:c r="D35" s="16" t="str">
        <x:v>v4_prior_blind_review</x:v>
      </x:c>
      <x:c r="E35" s="17" t="str">
        <x:v>independent_evidence</x:v>
      </x:c>
      <x:c r="F35" s="17" t="str">
        <x:v>https://gestion.pe/opinion/keiko-fujimori-ni-luna-de-miel-ni-de-hiel-noticia/</x:v>
      </x:c>
    </x:row>
    <x:row r="36" ht="58" customHeight="1">
      <x:c r="A36" s="16" t="str">
        <x:v>coverage</x:v>
      </x:c>
      <x:c r="B36" s="16" t="str">
        <x:v>V4-016</x:v>
      </x:c>
      <x:c r="C36" s="16" t="str">
        <x:v>V4-016</x:v>
      </x:c>
      <x:c r="D36" s="16" t="str">
        <x:v>v4_prior_blind_review</x:v>
      </x:c>
      <x:c r="E36" s="17" t="str">
        <x:v>case_set</x:v>
      </x:c>
      <x:c r="F36" s="17" t="str"/>
    </x:row>
    <x:row r="37" ht="58" customHeight="1">
      <x:c r="A37" s="16" t="str">
        <x:v>source</x:v>
      </x:c>
      <x:c r="B37" s="16" t="str">
        <x:v>V5FULL-V4-017-S01</x:v>
      </x:c>
      <x:c r="C37" s="16" t="str">
        <x:v>V4-017</x:v>
      </x:c>
      <x:c r="D37" s="16" t="str">
        <x:v>v5_focused_review</x:v>
      </x:c>
      <x:c r="E37" s="17" t="str">
        <x:v>independent_evidence</x:v>
      </x:c>
      <x:c r="F37" s="17" t="str">
        <x:v>https://diariocorreo.pe/politica/keiko-fujimori-a-roberto-sanchez-los-votos-de-los-peruanos-son-validos-y-deben-ser-respetados-noticia/</x:v>
      </x:c>
    </x:row>
    <x:row r="38" ht="58" customHeight="1">
      <x:c r="A38" s="16" t="str">
        <x:v>coverage</x:v>
      </x:c>
      <x:c r="B38" s="16" t="str">
        <x:v>V4-017</x:v>
      </x:c>
      <x:c r="C38" s="16" t="str">
        <x:v>V4-017</x:v>
      </x:c>
      <x:c r="D38" s="16" t="str">
        <x:v>v5_focused_review</x:v>
      </x:c>
      <x:c r="E38" s="17" t="str">
        <x:v>case_set</x:v>
      </x:c>
      <x:c r="F38" s="17" t="str"/>
    </x:row>
    <x:row r="39" ht="58" customHeight="1">
      <x:c r="A39" s="16" t="str">
        <x:v>source</x:v>
      </x:c>
      <x:c r="B39" s="16" t="str">
        <x:v>V5FULL-V4-018-S01</x:v>
      </x:c>
      <x:c r="C39" s="16" t="str">
        <x:v>V4-018</x:v>
      </x:c>
      <x:c r="D39" s="16" t="str">
        <x:v>v4_prior_blind_review</x:v>
      </x:c>
      <x:c r="E39" s="17" t="str">
        <x:v>independent_evidence</x:v>
      </x:c>
      <x:c r="F39" s="17" t="str">
        <x:v>https://voz.pe/social/article/15574</x:v>
      </x:c>
    </x:row>
    <x:row r="40" ht="58" customHeight="1">
      <x:c r="A40" s="16" t="str">
        <x:v>source</x:v>
      </x:c>
      <x:c r="B40" s="16" t="str">
        <x:v>V5FULL-V4-018-S02</x:v>
      </x:c>
      <x:c r="C40" s="16" t="str">
        <x:v>V4-018</x:v>
      </x:c>
      <x:c r="D40" s="16" t="str">
        <x:v>v5_focused_review</x:v>
      </x:c>
      <x:c r="E40" s="17" t="str">
        <x:v>independent_evidence</x:v>
      </x:c>
      <x:c r="F40" s="17" t="str">
        <x:v>https://www.exitosanoticias.pe/elige-bien/juntos-peru-pide-ya-abonar-dinero-costear-pedidos-nulidad-actas-aclara-devolvera-dinero-n177828</x:v>
      </x:c>
    </x:row>
    <x:row r="41" ht="58" customHeight="1">
      <x:c r="A41" s="16" t="str">
        <x:v>source</x:v>
      </x:c>
      <x:c r="B41" s="16" t="str">
        <x:v>V5FULL-V4-018-S03</x:v>
      </x:c>
      <x:c r="C41" s="16" t="str">
        <x:v>V4-018</x:v>
      </x:c>
      <x:c r="D41" s="16" t="str">
        <x:v>v5_focused_review</x:v>
      </x:c>
      <x:c r="E41" s="17" t="str">
        <x:v>independent_evidence</x:v>
      </x:c>
      <x:c r="F41" s="17" t="str">
        <x:v>https://caretas.pe/politica/juntos-por-el-peru-pone-pausa-a-recaudacion-para-impugnaciones-pero-descarta-devolver-aportes-de-simpatizantes/</x:v>
      </x:c>
    </x:row>
    <x:row r="42" ht="58" customHeight="1">
      <x:c r="A42" s="16" t="str">
        <x:v>coverage</x:v>
      </x:c>
      <x:c r="B42" s="16" t="str">
        <x:v>V4-018</x:v>
      </x:c>
      <x:c r="C42" s="16" t="str">
        <x:v>V4-018</x:v>
      </x:c>
      <x:c r="D42" s="16" t="str">
        <x:v>v5_focused_review</x:v>
      </x:c>
      <x:c r="E42" s="17" t="str">
        <x:v>case_set</x:v>
      </x:c>
      <x:c r="F42" s="17" t="str"/>
    </x:row>
    <x:row r="43" ht="58" customHeight="1">
      <x:c r="A43" s="16" t="str">
        <x:v>source</x:v>
      </x:c>
      <x:c r="B43" s="16" t="str">
        <x:v>V5FULL-V4-019-S01</x:v>
      </x:c>
      <x:c r="C43" s="16" t="str">
        <x:v>V4-019</x:v>
      </x:c>
      <x:c r="D43" s="16" t="str">
        <x:v>v5_focused_review</x:v>
      </x:c>
      <x:c r="E43" s="17" t="str">
        <x:v>independent_evidence</x:v>
      </x:c>
      <x:c r="F43" s="17" t="str">
        <x:v>https://larepublica.pe/politica/2026/07/15/miguel-torres-y-cecilia-chacon-lideran-junta-preparatoria-para-instalacion-del-congreso-cuales-son-sus-funciones-hnews-746700</x:v>
      </x:c>
    </x:row>
    <x:row r="44" ht="58" customHeight="1">
      <x:c r="A44" s="16" t="str">
        <x:v>coverage</x:v>
      </x:c>
      <x:c r="B44" s="16" t="str">
        <x:v>V4-019</x:v>
      </x:c>
      <x:c r="C44" s="16" t="str">
        <x:v>V4-019</x:v>
      </x:c>
      <x:c r="D44" s="16" t="str">
        <x:v>v5_focused_review</x:v>
      </x:c>
      <x:c r="E44" s="17" t="str">
        <x:v>case_set</x:v>
      </x:c>
      <x:c r="F44" s="17" t="str"/>
    </x:row>
    <x:row r="45" ht="58" customHeight="1">
      <x:c r="A45" s="16" t="str">
        <x:v>source</x:v>
      </x:c>
      <x:c r="B45" s="16" t="str">
        <x:v>V5FULL-V4-020-S01</x:v>
      </x:c>
      <x:c r="C45" s="16" t="str">
        <x:v>V4-020</x:v>
      </x:c>
      <x:c r="D45" s="16" t="str">
        <x:v>v4_prior_blind_review</x:v>
      </x:c>
      <x:c r="E45" s="17" t="str">
        <x:v>independent_evidence</x:v>
      </x:c>
      <x:c r="F45" s="17" t="str">
        <x:v>https://www.infobae.com/peru/2026/07/03/presidenta-electa-keiko-fujimori-habilita-nuevas-cuentas-de-redes-oficiales/</x:v>
      </x:c>
    </x:row>
    <x:row r="46" ht="58" customHeight="1">
      <x:c r="A46" s="16" t="str">
        <x:v>source</x:v>
      </x:c>
      <x:c r="B46" s="16" t="str">
        <x:v>V5FULL-V4-020-S02</x:v>
      </x:c>
      <x:c r="C46" s="16" t="str">
        <x:v>V4-020</x:v>
      </x:c>
      <x:c r="D46" s="16" t="str">
        <x:v>v4_prior_blind_review</x:v>
      </x:c>
      <x:c r="E46" s="17" t="str">
        <x:v>independent_evidence</x:v>
      </x:c>
      <x:c r="F46" s="17" t="str">
        <x:v>https://caretas.pe/politica/keiko-fujimori-lanza-redes-sociales-oficiales-de-la-oficina-de-la-presidenta-electa-tras-proclamarse-resultados-por-el-jne/</x:v>
      </x:c>
    </x:row>
    <x:row r="47" ht="58" customHeight="1">
      <x:c r="A47" s="16" t="str">
        <x:v>coverage</x:v>
      </x:c>
      <x:c r="B47" s="16" t="str">
        <x:v>V4-020</x:v>
      </x:c>
      <x:c r="C47" s="16" t="str">
        <x:v>V4-020</x:v>
      </x:c>
      <x:c r="D47" s="16" t="str">
        <x:v>v4_prior_blind_review</x:v>
      </x:c>
      <x:c r="E47" s="17" t="str">
        <x:v>case_set</x:v>
      </x:c>
      <x:c r="F47" s="1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8B5C2"/>
  </x:sheetPr>
  <x:sheetViews>
    <x:sheetView showGridLines="0" workbookViewId="0"/>
  </x:sheetViews>
  <x:sheetFormatPr defaultRowHeight="15"/>
  <x:cols>
    <x:col min="1" max="1" width="29" hidden="0" customWidth="1"/>
    <x:col min="2" max="2" width="104" hidden="0" customWidth="1"/>
  </x:cols>
  <x:sheetData>
    <x:row r="2">
      <x:c r="A2" s="18" t="str">
        <x:v>Método, criterios y límites</x:v>
      </x:c>
      <x:c r="B2" s="18"/>
      <x:c r="C2" s="18"/>
      <x:c r="D2" s="18"/>
      <x:c r="E2" s="18"/>
      <x:c r="F2" s="18"/>
    </x:row>
    <x:row r="4">
      <x:c r="A4" s="13" t="str">
        <x:v>Elemento</x:v>
      </x:c>
      <x:c r="B4" s="15" t="str">
        <x:v>Definición</x:v>
      </x:c>
    </x:row>
    <x:row r="5" ht="44" customHeight="1">
      <x:c r="A5" s="16" t="str">
        <x:v>Diseño</x:v>
      </x:c>
      <x:c r="B5" s="17" t="str">
        <x:v>Regresión de desarrollo sobre la misma muestra congelada de 20 publicaciones usada para diagnosticar v4. No es una evaluación confirmatoria fresca.</x:v>
      </x:c>
    </x:row>
    <x:row r="6" ht="44" customHeight="1">
      <x:c r="A6" s="16" t="str">
        <x:v>Unidad</x:v>
      </x:c>
      <x:c r="B6" s="17" t="str">
        <x:v>26 pares afirmación–fuente independientes y 20 publicaciones.</x:v>
      </x:c>
    </x:row>
    <x:row r="7" ht="44" customHeight="1">
      <x:c r="A7" s="16" t="str">
        <x:v>Revisión humana</x:v>
      </x:c>
      <x:c r="B7" s="17" t="str">
        <x:v>13 fuentes nuevas y 16 conjuntos cambiados se revisaron de forma ciega. Los registros sin cambios reutilizan decisiones previas solo por coincidencia exacta de case_id y URL.</x:v>
      </x:c>
    </x:row>
    <x:row r="8" ht="44" customHeight="1">
      <x:c r="A8" s="16" t="str">
        <x:v>Contexto primario</x:v>
      </x:c>
      <x:c r="B8" s="17" t="str">
        <x:v>3 casos contienen solo la publicación original. Sirve para interpretar citas u opiniones, pero no participa en precisión ni postura de fuentes independientes.</x:v>
      </x:c>
    </x:row>
    <x:row r="9" ht="44" customHeight="1">
      <x:c r="A9" s="16" t="str">
        <x:v>Precisión de fuentes</x:v>
      </x:c>
      <x:c r="B9" s="17" t="str">
        <x:v>Proporción de fuentes independientes evaluables cuya postura humana final no fue unrelated.</x:v>
      </x:c>
    </x:row>
    <x:row r="10" ht="44" customHeight="1">
      <x:c r="A10" s="16" t="str">
        <x:v>Exactitud de postura</x:v>
      </x:c>
      <x:c r="B10" s="17" t="str">
        <x:v>Coincidencia entre evidence-policy v5 y la postura humana final en fuentes independientes.</x:v>
      </x:c>
    </x:row>
    <x:row r="11" ht="44" customHeight="1">
      <x:c r="A11" s="16" t="str">
        <x:v>Cobertura útil</x:v>
      </x:c>
      <x:c r="B11" s="17" t="str">
        <x:v>Casos sufficient o partial entre aquellos donde la revisión humana estableció que existía evidencia.</x:v>
      </x:c>
    </x:row>
    <x:row r="12" ht="44" customHeight="1">
      <x:c r="A12" s="16" t="str">
        <x:v>Vacío falso</x:v>
      </x:c>
      <x:c r="B12" s="17" t="str">
        <x:v>El sistema devolvió cero fuentes, pero la revisión humana estableció que sí existía evidencia pertinente. En v5 no hubo conjuntos vacíos.</x:v>
      </x:c>
    </x:row>
    <x:row r="13" ht="44" customHeight="1">
      <x:c r="A13" s="16" t="str">
        <x:v>Umbrales</x:v>
      </x:c>
      <x:c r="B13" s="17" t="str">
        <x:v>Se usan como referencia los umbrales fijados para v4: recuperación ≥16/20; precisión ≥90%; cobertura útil ≥80%; postura ≥75%; vacíos falsos ≤20%.</x:v>
      </x:c>
    </x:row>
    <x:row r="14" ht="44" customHeight="1">
      <x:c r="A14" s="16" t="str">
        <x:v>Interpretación</x:v>
      </x:c>
      <x:c r="B14" s="17" t="str">
        <x:v>Cumplir estos umbrales muestra corrección en desarrollo, pero no constituye confirmación independiente porque la misma muestra guio los cambios.</x:v>
      </x:c>
    </x:row>
    <x:row r="15" ht="44" customHeight="1">
      <x:c r="A15" s="16" t="str">
        <x:v>Acuerdo</x:v>
      </x:c>
      <x:c r="B15" s="17" t="str">
        <x:v>El acuerdo mostrado corresponde solo a la revisión focalizada antes de adjudicar. No debe combinarse directamente con el acuerdo de la ronda v4.</x:v>
      </x:c>
    </x:row>
    <x:row r="16" ht="44" customHeight="1">
      <x:c r="A16" s="16" t="str">
        <x:v>Clases</x:v>
      </x:c>
      <x:c r="B16" s="17" t="str">
        <x:v>No hubo ejemplos humanos finales refutes ni unrelated; el macro-F1 fijo de cuatro clases no es la métrica central.</x:v>
      </x:c>
    </x:row>
    <x:row r="17" ht="44" customHeight="1">
      <x:c r="A17" s="16" t="str">
        <x:v>X/social</x:v>
      </x:c>
      <x:c r="B17" s="17" t="str">
        <x:v>La muestra no contiene publicaciones de X. Quotes, respuestas e hilos requieren una evaluación social independiente.</x:v>
      </x:c>
    </x:row>
    <x:row r="18" ht="44" customHeight="1">
      <x:c r="A18" s="16" t="str">
        <x:v>Siguiente prueba</x:v>
      </x:c>
      <x:c r="B18" s="17" t="str">
        <x:v>Congelar una muestra nueva, incluir casos sociales y repetir doble anotación sin reutilizar estas decisiones.</x:v>
      </x:c>
    </x:row>
  </x:sheetData>
  <x:mergeCells>
    <x:mergeCell ref="A2:F2"/>
  </x:mergeCells>
  <x:pageMargins left="0.7" right="0.7" top="0.75" bottom="0.75" header="0.3" footer="0.3"/>
</x:worksheet>
</file>